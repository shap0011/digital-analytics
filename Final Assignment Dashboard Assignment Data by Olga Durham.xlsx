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drawings/drawing1.xml" ContentType="application/vnd.openxmlformats-officedocument.drawing+xml"/>
  <Override PartName="/xl/ctrlProps/ctrlProp1.xml" ContentType="application/vnd.ms-excel.controlproperties+xml"/>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olga\Digital Analytics\Final\"/>
    </mc:Choice>
  </mc:AlternateContent>
  <xr:revisionPtr revIDLastSave="0" documentId="13_ncr:1_{EE9B636D-48C7-4D67-8A4B-92C13FEFF7D2}" xr6:coauthVersionLast="47" xr6:coauthVersionMax="47" xr10:uidLastSave="{00000000-0000-0000-0000-000000000000}"/>
  <bookViews>
    <workbookView xWindow="28680" yWindow="-1650" windowWidth="29040" windowHeight="15720" firstSheet="7" activeTab="8" xr2:uid="{2D269978-99DD-422B-8A2A-FC3FD596241E}"/>
  </bookViews>
  <sheets>
    <sheet name="Conversion Summary" sheetId="5" state="hidden" r:id="rId1"/>
    <sheet name="Fallout Summary" sheetId="14" state="hidden" r:id="rId2"/>
    <sheet name="Conversion Data" sheetId="3" state="hidden" r:id="rId3"/>
    <sheet name="Traffic Data" sheetId="1" state="hidden" r:id="rId4"/>
    <sheet name="Organic Keywords" sheetId="15" state="hidden" r:id="rId5"/>
    <sheet name="Unique Visitors" sheetId="2" state="hidden" r:id="rId6"/>
    <sheet name="Config" sheetId="4" state="hidden" r:id="rId7"/>
    <sheet name="Data" sheetId="16" r:id="rId8"/>
    <sheet name="Dashboard" sheetId="18" r:id="rId9"/>
  </sheets>
  <definedNames>
    <definedName name="ORB_V1_sh1_111110011553438">'Traffic Data'!$B$8</definedName>
    <definedName name="ORB_V1_sh1_111110031041880">'Traffic Data'!$B$9</definedName>
    <definedName name="ORB_V1_sh1_111110115509284">'Traffic Data'!$B$7</definedName>
    <definedName name="ORB_V1_sh2_111110035412386">'Conversion Data'!$B$7</definedName>
    <definedName name="ORB_V1_sh2_111111010206845">'Traffic Data'!$BA$6</definedName>
    <definedName name="ORB_V1_sh2_111111010251999">'Traffic Data'!$B$11</definedName>
    <definedName name="ORB_V1_sh2_111111125530097">'Traffic Data'!$B$10</definedName>
    <definedName name="ORB_V1_sh2_111111125854440">'Traffic Data'!$AR$6</definedName>
    <definedName name="ORB_V1_sh4_111111110644720">'Unique Visitors'!$B$7</definedName>
    <definedName name="ORB_V1_sh4_111111111526602">'Unique Visitors'!$B$7</definedName>
    <definedName name="ORB_V1_sh4_111111112504747">'Unique Visitors'!$B$7</definedName>
    <definedName name="ORB_V1_sh4_111202043031889">'Traffic Data'!$B$12</definedName>
    <definedName name="ORB_V1_sh4_111202043940709">'Traffic Data'!$BS$6</definedName>
    <definedName name="ORB_V1_sh4_111202044006439">'Traffic Data'!$B$13</definedName>
    <definedName name="ORB_V1_sh4_111202044258363">'Traffic Data'!$BW$6</definedName>
    <definedName name="ORB_V1_sh4_111202044343132">'Traffic Data'!$B$14</definedName>
    <definedName name="ORB_V1_sh4_111202044555251">'Traffic Data'!$CA$6</definedName>
    <definedName name="ORB_V1_sh4_111202044604236">'Traffic Data'!$B$15</definedName>
    <definedName name="ORB_V1_sh4_111202044808508">'Traffic Data'!$CE$6</definedName>
    <definedName name="ORB_V1_sh4_111202044821362">'Traffic Data'!$B$16</definedName>
    <definedName name="ORB_V1_sh4_111202045030391">'Traffic Data'!$CI$6</definedName>
    <definedName name="ORB_V1_sh4_111202045046333">'Traffic Data'!$B$17</definedName>
    <definedName name="ORB_V1_sh5_111208043217057">'Traffic Data'!$K$6</definedName>
    <definedName name="ORB_V1_sh5_111208043342531">'Traffic Data'!$U$6</definedName>
    <definedName name="ORB_V1_sh5_111208043420125">'Traffic Data'!$AD$6</definedName>
    <definedName name="ORB_V1_sh5_111208050834201">'Traffic Data'!$BO$6</definedName>
    <definedName name="ORB_V1_sh6_111209121735557">'Conversion Data'!$K$6</definedName>
    <definedName name="ORB_V1_sh6_111213023335064">'Conversion Data'!$AF$6</definedName>
    <definedName name="ORB_V1_sh6_111213023515872">'Conversion Data'!$B$7</definedName>
    <definedName name="ORB_V1_sh6_111213024055110">'Conversion Data'!$AQ$6</definedName>
    <definedName name="ORB_V1_sh6_111213024109572">'Conversion Data'!$B$7</definedName>
    <definedName name="ORB_V1_sh6_111213025056932">'Conversion Data'!$BB$6</definedName>
    <definedName name="ORB_V1_sh6_111213025217975">'Conversion Data'!$B$7</definedName>
    <definedName name="ORB_V1_sh6_111213045203402">'Organic Keywords'!$D$1</definedName>
    <definedName name="ORB_V1_sh7_111208043622337">'Unique Visitors'!$K$6</definedName>
    <definedName name="ORB_V1_sh7_111208043824188">'Unique Visitors'!$U$6</definedName>
    <definedName name="ORB_V1_sh7_111208045058606">'Unique Visitors'!$Z$6</definedName>
    <definedName name="ORB_V1_shORB_SHEETCODENAME_111110115218432_111110115218432">'Traffic Data'!$B$1</definedName>
    <definedName name="ORB_V1_shORB_SHEETCODENAME_111110120324455_111111110601421">'Unique Visitors'!$B$1</definedName>
    <definedName name="ORB_V1_shORB_SHEETCODENAME_111110120324470_111110035230576">'Conversion Data'!$B$1</definedName>
    <definedName name="ORB_V1_shORB_SHEETCODENAME_111213034151402_111213034255533">'Organic Keywords'!$B$1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18" l="1"/>
  <c r="R25" i="18"/>
  <c r="K26" i="18"/>
  <c r="K25" i="18"/>
  <c r="K24" i="18"/>
  <c r="K23" i="18"/>
  <c r="C25" i="18"/>
  <c r="C24" i="18"/>
  <c r="C23" i="18"/>
  <c r="R14" i="18"/>
  <c r="M7" i="18" s="1"/>
  <c r="R11" i="18"/>
  <c r="R12" i="18" s="1"/>
  <c r="J7" i="18" s="1"/>
  <c r="R8" i="18"/>
  <c r="R7" i="18"/>
  <c r="D7" i="18" s="1"/>
  <c r="R4" i="18"/>
  <c r="R3" i="18"/>
  <c r="A7" i="18" s="1"/>
  <c r="G18" i="4"/>
  <c r="E18" i="4" s="1"/>
  <c r="G19" i="4"/>
  <c r="E19" i="4" s="1"/>
  <c r="C4" i="14"/>
  <c r="A4" i="14" s="1"/>
  <c r="C5" i="14"/>
  <c r="A5" i="14" s="1"/>
  <c r="C6" i="14"/>
  <c r="A6" i="14" s="1"/>
  <c r="F6" i="14" s="1"/>
  <c r="C7" i="14"/>
  <c r="A7" i="14" s="1"/>
  <c r="C8" i="14"/>
  <c r="A8" i="14" s="1"/>
  <c r="C9" i="14"/>
  <c r="A9" i="14"/>
  <c r="C10" i="14"/>
  <c r="A10" i="14" s="1"/>
  <c r="H10" i="14" s="1"/>
  <c r="C11" i="14"/>
  <c r="A11" i="14"/>
  <c r="C12" i="14"/>
  <c r="A12" i="14" s="1"/>
  <c r="G12" i="14" s="1"/>
  <c r="C13" i="14"/>
  <c r="A13" i="14" s="1"/>
  <c r="C14" i="14"/>
  <c r="A14" i="14" s="1"/>
  <c r="F14" i="14" s="1"/>
  <c r="C15" i="14"/>
  <c r="A15" i="14" s="1"/>
  <c r="C16" i="14"/>
  <c r="A16" i="14"/>
  <c r="C17" i="14"/>
  <c r="A17" i="14"/>
  <c r="C18" i="14"/>
  <c r="A18" i="14"/>
  <c r="C19" i="14"/>
  <c r="A19" i="14" s="1"/>
  <c r="C20" i="14"/>
  <c r="A20" i="14"/>
  <c r="C21" i="14"/>
  <c r="A21" i="14" s="1"/>
  <c r="C22" i="14"/>
  <c r="A22" i="14"/>
  <c r="C23" i="14"/>
  <c r="A23" i="14" s="1"/>
  <c r="C24" i="14"/>
  <c r="A24" i="14" s="1"/>
  <c r="C25" i="14"/>
  <c r="A25" i="14"/>
  <c r="C26" i="14"/>
  <c r="A26" i="14"/>
  <c r="C27" i="14"/>
  <c r="A27" i="14"/>
  <c r="F30" i="3"/>
  <c r="F29" i="3"/>
  <c r="F28" i="3"/>
  <c r="F27" i="3"/>
  <c r="F26" i="3"/>
  <c r="F25" i="3"/>
  <c r="F24" i="3"/>
  <c r="F23" i="3"/>
  <c r="F22" i="3"/>
  <c r="F21" i="3"/>
  <c r="F20" i="3"/>
  <c r="F19" i="3"/>
  <c r="F18" i="3"/>
  <c r="F17" i="3"/>
  <c r="F16" i="3"/>
  <c r="F15" i="3"/>
  <c r="F14" i="3"/>
  <c r="F13" i="3"/>
  <c r="F12" i="3"/>
  <c r="F11" i="3"/>
  <c r="F10" i="3"/>
  <c r="F9" i="3"/>
  <c r="F8" i="3"/>
  <c r="F7" i="3"/>
  <c r="F31" i="1"/>
  <c r="F30" i="1"/>
  <c r="F29" i="1"/>
  <c r="F28" i="1"/>
  <c r="F27" i="1"/>
  <c r="F26" i="1"/>
  <c r="F25" i="1"/>
  <c r="F24" i="1"/>
  <c r="F23" i="1"/>
  <c r="F22" i="1"/>
  <c r="F21" i="1"/>
  <c r="F20" i="1"/>
  <c r="F19" i="1"/>
  <c r="F18" i="1"/>
  <c r="F17" i="1"/>
  <c r="F16" i="1"/>
  <c r="F15" i="1"/>
  <c r="F14" i="1"/>
  <c r="F13" i="1"/>
  <c r="F12" i="1"/>
  <c r="F11" i="1"/>
  <c r="F10" i="1"/>
  <c r="F9" i="1"/>
  <c r="F8" i="1"/>
  <c r="F7" i="1"/>
  <c r="P30" i="2"/>
  <c r="P29" i="2"/>
  <c r="P28" i="2"/>
  <c r="P27" i="2"/>
  <c r="P26" i="2"/>
  <c r="P25" i="2"/>
  <c r="P24" i="2"/>
  <c r="P23" i="2"/>
  <c r="P22" i="2"/>
  <c r="P21" i="2"/>
  <c r="P20" i="2"/>
  <c r="P19" i="2"/>
  <c r="P18" i="2"/>
  <c r="P17" i="2"/>
  <c r="P16" i="2"/>
  <c r="P15" i="2"/>
  <c r="P14" i="2"/>
  <c r="P13" i="2"/>
  <c r="P12" i="2"/>
  <c r="P11" i="2"/>
  <c r="P10" i="2"/>
  <c r="P9" i="2"/>
  <c r="P8" i="2"/>
  <c r="P7" i="2"/>
  <c r="G7" i="4"/>
  <c r="E7" i="4" s="1"/>
  <c r="G9" i="4"/>
  <c r="E9" i="4" s="1"/>
  <c r="G10" i="4"/>
  <c r="F10" i="4" s="1"/>
  <c r="G11" i="4"/>
  <c r="E11" i="4" s="1"/>
  <c r="G12" i="4"/>
  <c r="E12" i="4" s="1"/>
  <c r="G13" i="4"/>
  <c r="E13" i="4" s="1"/>
  <c r="F13" i="4"/>
  <c r="G14" i="4"/>
  <c r="E14" i="4" s="1"/>
  <c r="G15" i="4"/>
  <c r="E15" i="4" s="1"/>
  <c r="G16" i="4"/>
  <c r="F16" i="4" s="1"/>
  <c r="G17" i="4"/>
  <c r="F17" i="4" s="1"/>
  <c r="G8" i="4"/>
  <c r="E8" i="4" s="1"/>
  <c r="F8" i="4"/>
  <c r="X9" i="2"/>
  <c r="F11" i="4"/>
  <c r="F18" i="4"/>
  <c r="F9" i="4"/>
  <c r="E10" i="4"/>
  <c r="G87" i="15"/>
  <c r="G80" i="15"/>
  <c r="G75" i="15"/>
  <c r="G79" i="15"/>
  <c r="G43" i="15"/>
  <c r="G54" i="15"/>
  <c r="G32" i="15"/>
  <c r="G76" i="15"/>
  <c r="G47" i="15"/>
  <c r="G29" i="15"/>
  <c r="G94" i="15"/>
  <c r="G13" i="15"/>
  <c r="G55" i="15"/>
  <c r="G16" i="15"/>
  <c r="G49" i="15"/>
  <c r="G88" i="15"/>
  <c r="G48" i="15"/>
  <c r="G21" i="15"/>
  <c r="G101" i="15"/>
  <c r="G56" i="15"/>
  <c r="G20" i="15"/>
  <c r="G74" i="15"/>
  <c r="G70" i="15"/>
  <c r="G99" i="15"/>
  <c r="G44" i="15"/>
  <c r="G36" i="15"/>
  <c r="G31" i="15"/>
  <c r="G10" i="15"/>
  <c r="G40" i="15"/>
  <c r="G42" i="15"/>
  <c r="G53" i="15"/>
  <c r="G82" i="15"/>
  <c r="G27" i="15"/>
  <c r="G95" i="15"/>
  <c r="G59" i="15"/>
  <c r="G4" i="15"/>
  <c r="G41" i="15"/>
  <c r="G11" i="15"/>
  <c r="G15" i="15"/>
  <c r="G51" i="15"/>
  <c r="G6" i="15"/>
  <c r="G77" i="15"/>
  <c r="G61" i="15"/>
  <c r="G50" i="15"/>
  <c r="G102" i="15"/>
  <c r="G5" i="15"/>
  <c r="G28" i="15"/>
  <c r="G26" i="15"/>
  <c r="G38" i="15"/>
  <c r="G85" i="15"/>
  <c r="G37" i="15"/>
  <c r="G46" i="15"/>
  <c r="G35" i="15"/>
  <c r="G57" i="15"/>
  <c r="G7" i="15"/>
  <c r="G60" i="15"/>
  <c r="G22" i="15"/>
  <c r="G62" i="15"/>
  <c r="G63" i="15"/>
  <c r="G64" i="15"/>
  <c r="G71" i="15"/>
  <c r="G66" i="15"/>
  <c r="G67" i="15"/>
  <c r="G12" i="15"/>
  <c r="G69" i="15"/>
  <c r="G17" i="15"/>
  <c r="G25" i="15"/>
  <c r="G72" i="15"/>
  <c r="G8" i="15"/>
  <c r="G18" i="15"/>
  <c r="G14" i="15"/>
  <c r="G65" i="15"/>
  <c r="G34" i="15"/>
  <c r="G19" i="15"/>
  <c r="G9" i="15"/>
  <c r="G52" i="15"/>
  <c r="G68" i="15"/>
  <c r="G33" i="15"/>
  <c r="G45" i="15"/>
  <c r="G84" i="15"/>
  <c r="G81" i="15"/>
  <c r="G86" i="15"/>
  <c r="G30" i="15"/>
  <c r="G39" i="15"/>
  <c r="G89" i="15"/>
  <c r="G90" i="15"/>
  <c r="G91" i="15"/>
  <c r="G92" i="15"/>
  <c r="G93" i="15"/>
  <c r="G78" i="15"/>
  <c r="G73" i="15"/>
  <c r="G96" i="15"/>
  <c r="G97" i="15"/>
  <c r="G98" i="15"/>
  <c r="G23" i="15"/>
  <c r="G100" i="15"/>
  <c r="G24" i="15"/>
  <c r="G58" i="15"/>
  <c r="G83" i="15"/>
  <c r="B17" i="15"/>
  <c r="A17" i="15"/>
  <c r="B16" i="15"/>
  <c r="A16" i="15"/>
  <c r="B15" i="15"/>
  <c r="A15" i="15"/>
  <c r="B14" i="15"/>
  <c r="A14" i="15"/>
  <c r="B13" i="15"/>
  <c r="A13" i="15"/>
  <c r="B12" i="15"/>
  <c r="A12" i="15"/>
  <c r="B11" i="15"/>
  <c r="A11" i="15"/>
  <c r="B10" i="15"/>
  <c r="A10" i="15"/>
  <c r="B9" i="15"/>
  <c r="A9" i="15"/>
  <c r="B8" i="15"/>
  <c r="A8" i="15"/>
  <c r="B7" i="15"/>
  <c r="A7" i="15"/>
  <c r="B41" i="15"/>
  <c r="A41" i="15"/>
  <c r="B40" i="15"/>
  <c r="A40" i="15"/>
  <c r="B39" i="15"/>
  <c r="A39" i="15"/>
  <c r="B38" i="15"/>
  <c r="A38" i="15"/>
  <c r="B37" i="15"/>
  <c r="A37" i="15"/>
  <c r="B36" i="15"/>
  <c r="A36" i="15"/>
  <c r="B35" i="15"/>
  <c r="A35" i="15"/>
  <c r="B34" i="15"/>
  <c r="A34" i="15"/>
  <c r="B33" i="15"/>
  <c r="A33" i="15"/>
  <c r="B32" i="15"/>
  <c r="A32" i="15"/>
  <c r="B31" i="15"/>
  <c r="A31" i="15"/>
  <c r="B30" i="15"/>
  <c r="A30" i="15"/>
  <c r="B29" i="15"/>
  <c r="A29" i="15"/>
  <c r="B28" i="15"/>
  <c r="A28" i="15"/>
  <c r="B27" i="15"/>
  <c r="A27" i="15"/>
  <c r="B26" i="15"/>
  <c r="A26" i="15"/>
  <c r="B25" i="15"/>
  <c r="A25" i="15"/>
  <c r="B24" i="15"/>
  <c r="A24" i="15"/>
  <c r="B23" i="15"/>
  <c r="A23" i="15"/>
  <c r="B22" i="15"/>
  <c r="A22" i="15"/>
  <c r="B21" i="15"/>
  <c r="A21" i="15"/>
  <c r="B20" i="15"/>
  <c r="A20" i="15"/>
  <c r="B19" i="15"/>
  <c r="A19" i="15"/>
  <c r="B18" i="15"/>
  <c r="A18" i="15"/>
  <c r="B4" i="15"/>
  <c r="B3" i="15"/>
  <c r="B1" i="15"/>
  <c r="BK30" i="3"/>
  <c r="BJ30" i="3"/>
  <c r="BK29" i="3"/>
  <c r="BJ29" i="3"/>
  <c r="BK28" i="3"/>
  <c r="BJ28" i="3"/>
  <c r="AZ29" i="3"/>
  <c r="AZ30" i="3"/>
  <c r="AZ28" i="3"/>
  <c r="AY29" i="3"/>
  <c r="AY30" i="3"/>
  <c r="AY28" i="3"/>
  <c r="AO29" i="3"/>
  <c r="AO30" i="3"/>
  <c r="AO28" i="3"/>
  <c r="AN29" i="3"/>
  <c r="AN30" i="3"/>
  <c r="AN28" i="3"/>
  <c r="X8" i="2"/>
  <c r="X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7" i="2"/>
  <c r="E17" i="4"/>
  <c r="R19" i="2"/>
  <c r="R20" i="2"/>
  <c r="R21" i="2"/>
  <c r="R22" i="2"/>
  <c r="R23" i="2"/>
  <c r="R24" i="2"/>
  <c r="R25" i="2"/>
  <c r="R26" i="2"/>
  <c r="R27" i="2"/>
  <c r="R28" i="2"/>
  <c r="R29" i="2"/>
  <c r="R30" i="2"/>
  <c r="Q19" i="2"/>
  <c r="Q20" i="2"/>
  <c r="Q21" i="2"/>
  <c r="Q22" i="2"/>
  <c r="Q23" i="2"/>
  <c r="Q24" i="2"/>
  <c r="Q25" i="2"/>
  <c r="Q26" i="2"/>
  <c r="Q27" i="2"/>
  <c r="Q28" i="2"/>
  <c r="Q29" i="2"/>
  <c r="Q30" i="2"/>
  <c r="H20" i="1"/>
  <c r="H21" i="1"/>
  <c r="H22" i="1"/>
  <c r="H23" i="1"/>
  <c r="H24" i="1"/>
  <c r="H25" i="1"/>
  <c r="H26" i="1"/>
  <c r="H27" i="1"/>
  <c r="H28" i="1"/>
  <c r="H29" i="1"/>
  <c r="H30" i="1"/>
  <c r="H19" i="1"/>
  <c r="H18" i="1"/>
  <c r="H17" i="1"/>
  <c r="H8" i="1"/>
  <c r="H9" i="1"/>
  <c r="H10" i="1"/>
  <c r="H11" i="1"/>
  <c r="H12" i="1"/>
  <c r="H13" i="1"/>
  <c r="H14" i="1"/>
  <c r="H15" i="1"/>
  <c r="H16" i="1"/>
  <c r="H7"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16" i="14" s="1"/>
  <c r="F42" i="1"/>
  <c r="F41" i="1"/>
  <c r="F40" i="1"/>
  <c r="F39" i="1"/>
  <c r="F38" i="1"/>
  <c r="F37" i="1"/>
  <c r="F36" i="1"/>
  <c r="F35" i="1"/>
  <c r="F34" i="1"/>
  <c r="F33" i="1"/>
  <c r="F32" i="1"/>
  <c r="D343" i="3"/>
  <c r="E343" i="3"/>
  <c r="F343" i="3"/>
  <c r="G343" i="3"/>
  <c r="H343" i="3"/>
  <c r="D344" i="3"/>
  <c r="E344" i="3"/>
  <c r="F344" i="3"/>
  <c r="G344" i="3"/>
  <c r="H344" i="3"/>
  <c r="D345" i="3"/>
  <c r="E345" i="3"/>
  <c r="F345" i="3"/>
  <c r="G345" i="3"/>
  <c r="H345" i="3"/>
  <c r="D346" i="3"/>
  <c r="E346" i="3"/>
  <c r="F346" i="3"/>
  <c r="G346" i="3"/>
  <c r="H346" i="3"/>
  <c r="D347" i="3"/>
  <c r="E347" i="3"/>
  <c r="F347" i="3"/>
  <c r="G347" i="3"/>
  <c r="H347" i="3"/>
  <c r="D348" i="3"/>
  <c r="E348" i="3"/>
  <c r="F348" i="3"/>
  <c r="G348" i="3"/>
  <c r="H348"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B17" i="1"/>
  <c r="CI5" i="1" s="1"/>
  <c r="B16" i="1"/>
  <c r="CE5" i="1" s="1"/>
  <c r="B15" i="1"/>
  <c r="CA5" i="1" s="1"/>
  <c r="B14" i="1"/>
  <c r="BW5" i="1" s="1"/>
  <c r="B13" i="1"/>
  <c r="BS5" i="1" s="1"/>
  <c r="B12" i="1"/>
  <c r="BO5" i="1"/>
  <c r="E4" i="5"/>
  <c r="B1" i="5"/>
  <c r="J4" i="5"/>
  <c r="E5" i="5"/>
  <c r="J5" i="5"/>
  <c r="E6" i="5"/>
  <c r="J6" i="5"/>
  <c r="E7" i="5"/>
  <c r="J7" i="5"/>
  <c r="E8" i="5"/>
  <c r="J8" i="5"/>
  <c r="E9" i="5"/>
  <c r="J9" i="5"/>
  <c r="E10" i="5"/>
  <c r="J10" i="5"/>
  <c r="D322" i="3"/>
  <c r="E322" i="3"/>
  <c r="G322" i="3"/>
  <c r="H322" i="3"/>
  <c r="D323" i="3"/>
  <c r="E323" i="3"/>
  <c r="G323" i="3"/>
  <c r="H323" i="3"/>
  <c r="D324" i="3"/>
  <c r="E324" i="3"/>
  <c r="G324" i="3"/>
  <c r="H324" i="3"/>
  <c r="D325" i="3"/>
  <c r="E325" i="3"/>
  <c r="G325" i="3"/>
  <c r="H325" i="3"/>
  <c r="D326" i="3"/>
  <c r="E326" i="3"/>
  <c r="G326" i="3"/>
  <c r="H326" i="3"/>
  <c r="D327" i="3"/>
  <c r="E327" i="3"/>
  <c r="G327" i="3"/>
  <c r="H327" i="3"/>
  <c r="D328" i="3"/>
  <c r="E328" i="3"/>
  <c r="G328" i="3"/>
  <c r="H328" i="3"/>
  <c r="D329" i="3"/>
  <c r="E329" i="3"/>
  <c r="G329" i="3"/>
  <c r="H329" i="3"/>
  <c r="D330" i="3"/>
  <c r="E330" i="3"/>
  <c r="G330" i="3"/>
  <c r="H330" i="3"/>
  <c r="D331" i="3"/>
  <c r="E331" i="3"/>
  <c r="G331" i="3"/>
  <c r="H331" i="3"/>
  <c r="D332" i="3"/>
  <c r="E332" i="3"/>
  <c r="G332" i="3"/>
  <c r="H332" i="3"/>
  <c r="D333" i="3"/>
  <c r="E333" i="3"/>
  <c r="G333" i="3"/>
  <c r="H333" i="3"/>
  <c r="D334" i="3"/>
  <c r="E334" i="3"/>
  <c r="G334" i="3"/>
  <c r="H334" i="3"/>
  <c r="D335" i="3"/>
  <c r="E335" i="3"/>
  <c r="G335" i="3"/>
  <c r="H335" i="3"/>
  <c r="D336" i="3"/>
  <c r="E336" i="3"/>
  <c r="G336" i="3"/>
  <c r="H336" i="3"/>
  <c r="D337" i="3"/>
  <c r="E337" i="3"/>
  <c r="G337" i="3"/>
  <c r="H337" i="3"/>
  <c r="D338" i="3"/>
  <c r="E338" i="3"/>
  <c r="G338" i="3"/>
  <c r="H338" i="3"/>
  <c r="D339" i="3"/>
  <c r="E339" i="3"/>
  <c r="G339" i="3"/>
  <c r="H339" i="3"/>
  <c r="D340" i="3"/>
  <c r="E340" i="3"/>
  <c r="G340" i="3"/>
  <c r="H340" i="3"/>
  <c r="D341" i="3"/>
  <c r="E341" i="3"/>
  <c r="G341" i="3"/>
  <c r="H341" i="3"/>
  <c r="D342" i="3"/>
  <c r="E342" i="3"/>
  <c r="G342" i="3"/>
  <c r="H342" i="3"/>
  <c r="A8" i="2"/>
  <c r="B8" i="2"/>
  <c r="A9" i="2"/>
  <c r="B9" i="2"/>
  <c r="A10" i="2"/>
  <c r="B10" i="2"/>
  <c r="A11" i="2"/>
  <c r="B11" i="2"/>
  <c r="A12" i="2"/>
  <c r="B12" i="2"/>
  <c r="A13" i="2"/>
  <c r="B13" i="2"/>
  <c r="A14" i="2"/>
  <c r="B14" i="2"/>
  <c r="A15" i="2"/>
  <c r="B15" i="2"/>
  <c r="A16" i="2"/>
  <c r="B16" i="2"/>
  <c r="A17" i="2"/>
  <c r="B17" i="2"/>
  <c r="A18" i="2"/>
  <c r="B18" i="2"/>
  <c r="A19" i="2"/>
  <c r="B19" i="2"/>
  <c r="A20" i="2"/>
  <c r="B20" i="2"/>
  <c r="A21" i="2"/>
  <c r="B21" i="2"/>
  <c r="A22" i="2"/>
  <c r="B22" i="2"/>
  <c r="A23" i="2"/>
  <c r="B23" i="2"/>
  <c r="A24" i="2"/>
  <c r="B24" i="2"/>
  <c r="A25" i="2"/>
  <c r="B25" i="2"/>
  <c r="A26" i="2"/>
  <c r="B26" i="2"/>
  <c r="A27" i="2"/>
  <c r="B27" i="2"/>
  <c r="A28" i="2"/>
  <c r="B28" i="2"/>
  <c r="A29" i="2"/>
  <c r="B29" i="2"/>
  <c r="A30" i="2"/>
  <c r="B30" i="2"/>
  <c r="A31" i="2"/>
  <c r="B31" i="2"/>
  <c r="A32" i="2"/>
  <c r="B32" i="2"/>
  <c r="A33" i="2"/>
  <c r="B33" i="2"/>
  <c r="A34" i="2"/>
  <c r="B34" i="2"/>
  <c r="A35" i="2"/>
  <c r="B35" i="2"/>
  <c r="A36" i="2"/>
  <c r="B36" i="2"/>
  <c r="A37" i="2"/>
  <c r="B37" i="2"/>
  <c r="A38" i="2"/>
  <c r="B38" i="2"/>
  <c r="A39" i="2"/>
  <c r="B39" i="2"/>
  <c r="A40" i="2"/>
  <c r="B40" i="2"/>
  <c r="A41" i="2"/>
  <c r="B41" i="2"/>
  <c r="B7" i="2"/>
  <c r="Z5" i="2" s="1"/>
  <c r="A7" i="2"/>
  <c r="A8" i="3"/>
  <c r="B8" i="3"/>
  <c r="A9" i="3"/>
  <c r="B9" i="3"/>
  <c r="A10" i="3"/>
  <c r="B10" i="3"/>
  <c r="A11" i="3"/>
  <c r="B11" i="3"/>
  <c r="A12" i="3"/>
  <c r="B12" i="3"/>
  <c r="A13" i="3"/>
  <c r="B13" i="3"/>
  <c r="A14" i="3"/>
  <c r="B14" i="3"/>
  <c r="A15" i="3"/>
  <c r="B15" i="3"/>
  <c r="A16" i="3"/>
  <c r="B16" i="3"/>
  <c r="A17" i="3"/>
  <c r="B17" i="3"/>
  <c r="A18" i="3"/>
  <c r="B18" i="3"/>
  <c r="A19" i="3"/>
  <c r="B19" i="3"/>
  <c r="A20" i="3"/>
  <c r="B20" i="3"/>
  <c r="A21" i="3"/>
  <c r="B21" i="3"/>
  <c r="A22" i="3"/>
  <c r="B22" i="3"/>
  <c r="A23" i="3"/>
  <c r="B23" i="3"/>
  <c r="A24" i="3"/>
  <c r="B24" i="3"/>
  <c r="A25" i="3"/>
  <c r="B25" i="3"/>
  <c r="A26" i="3"/>
  <c r="B26" i="3"/>
  <c r="A27" i="3"/>
  <c r="B27" i="3"/>
  <c r="A28" i="3"/>
  <c r="B28" i="3"/>
  <c r="A29" i="3"/>
  <c r="B29" i="3"/>
  <c r="A30" i="3"/>
  <c r="B30" i="3"/>
  <c r="A32" i="3"/>
  <c r="B32" i="3"/>
  <c r="A33" i="3"/>
  <c r="B33" i="3"/>
  <c r="A34" i="3"/>
  <c r="B34" i="3"/>
  <c r="A35" i="3"/>
  <c r="B35" i="3"/>
  <c r="A36" i="3"/>
  <c r="B36" i="3"/>
  <c r="A37" i="3"/>
  <c r="B37" i="3"/>
  <c r="A38" i="3"/>
  <c r="B38" i="3"/>
  <c r="A39" i="3"/>
  <c r="B39" i="3"/>
  <c r="A40" i="3"/>
  <c r="B40" i="3"/>
  <c r="A41" i="3"/>
  <c r="B41" i="3"/>
  <c r="B7" i="3"/>
  <c r="K5" i="3" s="1"/>
  <c r="A7" i="3"/>
  <c r="B8" i="1"/>
  <c r="U5" i="1" s="1"/>
  <c r="B9" i="1"/>
  <c r="B10" i="1"/>
  <c r="AR5" i="1" s="1"/>
  <c r="B11" i="1"/>
  <c r="BA5" i="1"/>
  <c r="B18" i="1"/>
  <c r="B19" i="1"/>
  <c r="B20" i="1"/>
  <c r="B21" i="1"/>
  <c r="B22" i="1"/>
  <c r="B23" i="1"/>
  <c r="B24" i="1"/>
  <c r="B25" i="1"/>
  <c r="B26" i="1"/>
  <c r="B27" i="1"/>
  <c r="B28" i="1"/>
  <c r="B29" i="1"/>
  <c r="B30" i="1"/>
  <c r="B32" i="1"/>
  <c r="B33" i="1"/>
  <c r="B34" i="1"/>
  <c r="B35" i="1"/>
  <c r="B36" i="1"/>
  <c r="B37" i="1"/>
  <c r="B38" i="1"/>
  <c r="B39" i="1"/>
  <c r="B40" i="1"/>
  <c r="B41" i="1"/>
  <c r="B7" i="1"/>
  <c r="A8" i="1"/>
  <c r="A9" i="1"/>
  <c r="A10" i="1"/>
  <c r="A11" i="1"/>
  <c r="A12" i="1"/>
  <c r="A13" i="1"/>
  <c r="A14" i="1"/>
  <c r="A15" i="1"/>
  <c r="A16" i="1"/>
  <c r="A17" i="1"/>
  <c r="A18" i="1"/>
  <c r="A19" i="1"/>
  <c r="A20" i="1"/>
  <c r="A21" i="1"/>
  <c r="A22" i="1"/>
  <c r="A23" i="1"/>
  <c r="A24" i="1"/>
  <c r="A25" i="1"/>
  <c r="A26" i="1"/>
  <c r="A27" i="1"/>
  <c r="A28" i="1"/>
  <c r="A29" i="1"/>
  <c r="A30" i="1"/>
  <c r="A32" i="1"/>
  <c r="A33" i="1"/>
  <c r="A34" i="1"/>
  <c r="A35" i="1"/>
  <c r="A36" i="1"/>
  <c r="A37" i="1"/>
  <c r="A38" i="1"/>
  <c r="A39" i="1"/>
  <c r="A40" i="1"/>
  <c r="A41" i="1"/>
  <c r="A7" i="1"/>
  <c r="J16" i="5"/>
  <c r="J15" i="5"/>
  <c r="J14" i="5"/>
  <c r="J13" i="5"/>
  <c r="E14" i="5"/>
  <c r="E15" i="5"/>
  <c r="E16" i="5"/>
  <c r="E13" i="5"/>
  <c r="X18" i="2"/>
  <c r="X17" i="2"/>
  <c r="X16" i="2"/>
  <c r="X15" i="2"/>
  <c r="X14" i="2"/>
  <c r="X13" i="2"/>
  <c r="X12" i="2"/>
  <c r="X11" i="2"/>
  <c r="X10" i="2"/>
  <c r="Q18" i="2"/>
  <c r="R18" i="2"/>
  <c r="Q8" i="2"/>
  <c r="R8" i="2"/>
  <c r="Q9" i="2"/>
  <c r="R9" i="2"/>
  <c r="Q10" i="2"/>
  <c r="R10" i="2"/>
  <c r="Q11" i="2"/>
  <c r="R11" i="2"/>
  <c r="Q12" i="2"/>
  <c r="R12" i="2"/>
  <c r="Q13" i="2"/>
  <c r="R13" i="2"/>
  <c r="Q14" i="2"/>
  <c r="R14" i="2"/>
  <c r="Q15" i="2"/>
  <c r="R15" i="2"/>
  <c r="Q16" i="2"/>
  <c r="R16" i="2"/>
  <c r="Q17" i="2"/>
  <c r="R17" i="2"/>
  <c r="O7" i="2"/>
  <c r="Q7" i="2"/>
  <c r="R7" i="2"/>
  <c r="U5" i="2"/>
  <c r="O321" i="2"/>
  <c r="N321" i="2"/>
  <c r="O320" i="2"/>
  <c r="N320" i="2"/>
  <c r="O319" i="2"/>
  <c r="N319" i="2"/>
  <c r="O318" i="2"/>
  <c r="N318" i="2"/>
  <c r="O317" i="2"/>
  <c r="N317" i="2"/>
  <c r="O316" i="2"/>
  <c r="N316" i="2"/>
  <c r="O315" i="2"/>
  <c r="N315" i="2"/>
  <c r="O314" i="2"/>
  <c r="N314" i="2"/>
  <c r="O313" i="2"/>
  <c r="N313" i="2"/>
  <c r="O312" i="2"/>
  <c r="N312" i="2"/>
  <c r="O311" i="2"/>
  <c r="N311" i="2"/>
  <c r="O310" i="2"/>
  <c r="N310" i="2"/>
  <c r="O309" i="2"/>
  <c r="N309" i="2"/>
  <c r="O308" i="2"/>
  <c r="N308" i="2"/>
  <c r="O307" i="2"/>
  <c r="N307" i="2"/>
  <c r="O306" i="2"/>
  <c r="N306" i="2"/>
  <c r="O305" i="2"/>
  <c r="N305" i="2"/>
  <c r="O304" i="2"/>
  <c r="N304" i="2"/>
  <c r="O303" i="2"/>
  <c r="N303" i="2"/>
  <c r="O302" i="2"/>
  <c r="N302" i="2"/>
  <c r="O301" i="2"/>
  <c r="N301" i="2"/>
  <c r="O300" i="2"/>
  <c r="N300" i="2"/>
  <c r="O299" i="2"/>
  <c r="N299" i="2"/>
  <c r="O298" i="2"/>
  <c r="N298" i="2"/>
  <c r="O297" i="2"/>
  <c r="N297" i="2"/>
  <c r="O296" i="2"/>
  <c r="N296" i="2"/>
  <c r="O295" i="2"/>
  <c r="N295" i="2"/>
  <c r="O294" i="2"/>
  <c r="N294" i="2"/>
  <c r="O293" i="2"/>
  <c r="N293" i="2"/>
  <c r="O292" i="2"/>
  <c r="N292" i="2"/>
  <c r="O291" i="2"/>
  <c r="N291" i="2"/>
  <c r="O290" i="2"/>
  <c r="N290" i="2"/>
  <c r="O289" i="2"/>
  <c r="N289" i="2"/>
  <c r="O288" i="2"/>
  <c r="N288" i="2"/>
  <c r="O287" i="2"/>
  <c r="N287" i="2"/>
  <c r="O286" i="2"/>
  <c r="N286" i="2"/>
  <c r="O285" i="2"/>
  <c r="N285" i="2"/>
  <c r="O284" i="2"/>
  <c r="N284" i="2"/>
  <c r="O283" i="2"/>
  <c r="N283" i="2"/>
  <c r="O282" i="2"/>
  <c r="N282" i="2"/>
  <c r="O281" i="2"/>
  <c r="N281" i="2"/>
  <c r="O280" i="2"/>
  <c r="N280" i="2"/>
  <c r="O279" i="2"/>
  <c r="N279" i="2"/>
  <c r="O278" i="2"/>
  <c r="N278" i="2"/>
  <c r="O277" i="2"/>
  <c r="N277" i="2"/>
  <c r="O276" i="2"/>
  <c r="N276" i="2"/>
  <c r="O275" i="2"/>
  <c r="N275" i="2"/>
  <c r="O274" i="2"/>
  <c r="N274" i="2"/>
  <c r="O273" i="2"/>
  <c r="N273" i="2"/>
  <c r="O272" i="2"/>
  <c r="N272" i="2"/>
  <c r="O271" i="2"/>
  <c r="N271" i="2"/>
  <c r="O270" i="2"/>
  <c r="N270" i="2"/>
  <c r="O269" i="2"/>
  <c r="N269" i="2"/>
  <c r="O268" i="2"/>
  <c r="N268" i="2"/>
  <c r="O267" i="2"/>
  <c r="N267" i="2"/>
  <c r="O266" i="2"/>
  <c r="N266" i="2"/>
  <c r="O265" i="2"/>
  <c r="N265" i="2"/>
  <c r="O264" i="2"/>
  <c r="N264" i="2"/>
  <c r="O263" i="2"/>
  <c r="N263" i="2"/>
  <c r="O262" i="2"/>
  <c r="N262" i="2"/>
  <c r="O261" i="2"/>
  <c r="N261" i="2"/>
  <c r="O260" i="2"/>
  <c r="N260" i="2"/>
  <c r="O259" i="2"/>
  <c r="N259" i="2"/>
  <c r="O258" i="2"/>
  <c r="N258" i="2"/>
  <c r="O257" i="2"/>
  <c r="N257" i="2"/>
  <c r="O256" i="2"/>
  <c r="N256" i="2"/>
  <c r="O255" i="2"/>
  <c r="N255" i="2"/>
  <c r="O254" i="2"/>
  <c r="N254" i="2"/>
  <c r="O253" i="2"/>
  <c r="N253" i="2"/>
  <c r="O252" i="2"/>
  <c r="N252" i="2"/>
  <c r="O251" i="2"/>
  <c r="N251" i="2"/>
  <c r="O250" i="2"/>
  <c r="N250" i="2"/>
  <c r="O249" i="2"/>
  <c r="N249" i="2"/>
  <c r="O248" i="2"/>
  <c r="N248" i="2"/>
  <c r="O247" i="2"/>
  <c r="N247" i="2"/>
  <c r="O246" i="2"/>
  <c r="N246" i="2"/>
  <c r="O245" i="2"/>
  <c r="N245" i="2"/>
  <c r="O244" i="2"/>
  <c r="N244" i="2"/>
  <c r="O243" i="2"/>
  <c r="N243" i="2"/>
  <c r="O242" i="2"/>
  <c r="N242" i="2"/>
  <c r="O241" i="2"/>
  <c r="N241" i="2"/>
  <c r="O240" i="2"/>
  <c r="N240" i="2"/>
  <c r="O239" i="2"/>
  <c r="N239" i="2"/>
  <c r="O238" i="2"/>
  <c r="N238" i="2"/>
  <c r="O237" i="2"/>
  <c r="N237" i="2"/>
  <c r="O236" i="2"/>
  <c r="N236" i="2"/>
  <c r="O235" i="2"/>
  <c r="N235" i="2"/>
  <c r="O234" i="2"/>
  <c r="N234" i="2"/>
  <c r="O233" i="2"/>
  <c r="N233" i="2"/>
  <c r="O232" i="2"/>
  <c r="N232" i="2"/>
  <c r="O231" i="2"/>
  <c r="N231" i="2"/>
  <c r="O230" i="2"/>
  <c r="N230" i="2"/>
  <c r="O229" i="2"/>
  <c r="N229" i="2"/>
  <c r="O228" i="2"/>
  <c r="N228" i="2"/>
  <c r="O227" i="2"/>
  <c r="N227" i="2"/>
  <c r="O226" i="2"/>
  <c r="N226" i="2"/>
  <c r="O225" i="2"/>
  <c r="N225" i="2"/>
  <c r="O224" i="2"/>
  <c r="N224" i="2"/>
  <c r="O223" i="2"/>
  <c r="N223" i="2"/>
  <c r="O222" i="2"/>
  <c r="N222" i="2"/>
  <c r="O221" i="2"/>
  <c r="N221" i="2"/>
  <c r="O220" i="2"/>
  <c r="N220" i="2"/>
  <c r="O219" i="2"/>
  <c r="N219" i="2"/>
  <c r="O218" i="2"/>
  <c r="N218" i="2"/>
  <c r="O217" i="2"/>
  <c r="N217" i="2"/>
  <c r="O216" i="2"/>
  <c r="N216" i="2"/>
  <c r="O215" i="2"/>
  <c r="N215" i="2"/>
  <c r="O214" i="2"/>
  <c r="N214" i="2"/>
  <c r="O213" i="2"/>
  <c r="N213" i="2"/>
  <c r="O212" i="2"/>
  <c r="N212" i="2"/>
  <c r="O211" i="2"/>
  <c r="N211" i="2"/>
  <c r="O210" i="2"/>
  <c r="N210" i="2"/>
  <c r="O209" i="2"/>
  <c r="N209" i="2"/>
  <c r="O208" i="2"/>
  <c r="N208" i="2"/>
  <c r="O207" i="2"/>
  <c r="N207" i="2"/>
  <c r="O206" i="2"/>
  <c r="N206" i="2"/>
  <c r="O205" i="2"/>
  <c r="N205" i="2"/>
  <c r="O204" i="2"/>
  <c r="N204" i="2"/>
  <c r="O203" i="2"/>
  <c r="N203" i="2"/>
  <c r="O202" i="2"/>
  <c r="N202" i="2"/>
  <c r="O201" i="2"/>
  <c r="N201" i="2"/>
  <c r="O200" i="2"/>
  <c r="N200" i="2"/>
  <c r="O199" i="2"/>
  <c r="N199" i="2"/>
  <c r="O198" i="2"/>
  <c r="N198" i="2"/>
  <c r="O197" i="2"/>
  <c r="N197" i="2"/>
  <c r="O196" i="2"/>
  <c r="N196" i="2"/>
  <c r="O195" i="2"/>
  <c r="N195" i="2"/>
  <c r="O194" i="2"/>
  <c r="N194" i="2"/>
  <c r="O193" i="2"/>
  <c r="N193" i="2"/>
  <c r="O192" i="2"/>
  <c r="N192" i="2"/>
  <c r="O191" i="2"/>
  <c r="N191" i="2"/>
  <c r="O190" i="2"/>
  <c r="N190" i="2"/>
  <c r="O189" i="2"/>
  <c r="N189" i="2"/>
  <c r="O188" i="2"/>
  <c r="N188" i="2"/>
  <c r="O187" i="2"/>
  <c r="N187" i="2"/>
  <c r="O186" i="2"/>
  <c r="N186" i="2"/>
  <c r="O185" i="2"/>
  <c r="N185" i="2"/>
  <c r="O184" i="2"/>
  <c r="N184" i="2"/>
  <c r="O183" i="2"/>
  <c r="N183" i="2"/>
  <c r="O182" i="2"/>
  <c r="N182" i="2"/>
  <c r="O181" i="2"/>
  <c r="N181" i="2"/>
  <c r="O180" i="2"/>
  <c r="N180" i="2"/>
  <c r="O179" i="2"/>
  <c r="N179" i="2"/>
  <c r="O178" i="2"/>
  <c r="N178" i="2"/>
  <c r="O177" i="2"/>
  <c r="N177" i="2"/>
  <c r="O176" i="2"/>
  <c r="N176" i="2"/>
  <c r="O175" i="2"/>
  <c r="N175" i="2"/>
  <c r="O174" i="2"/>
  <c r="N174" i="2"/>
  <c r="O173" i="2"/>
  <c r="N173" i="2"/>
  <c r="O172" i="2"/>
  <c r="N172" i="2"/>
  <c r="O171" i="2"/>
  <c r="N171" i="2"/>
  <c r="O170" i="2"/>
  <c r="N170" i="2"/>
  <c r="O169" i="2"/>
  <c r="N169" i="2"/>
  <c r="O168" i="2"/>
  <c r="N168" i="2"/>
  <c r="O167" i="2"/>
  <c r="N167" i="2"/>
  <c r="O166" i="2"/>
  <c r="N166" i="2"/>
  <c r="O165" i="2"/>
  <c r="N165" i="2"/>
  <c r="O164" i="2"/>
  <c r="N164" i="2"/>
  <c r="O163" i="2"/>
  <c r="N163" i="2"/>
  <c r="O162" i="2"/>
  <c r="N162" i="2"/>
  <c r="O161" i="2"/>
  <c r="N161" i="2"/>
  <c r="O160" i="2"/>
  <c r="N160" i="2"/>
  <c r="O159" i="2"/>
  <c r="N159" i="2"/>
  <c r="O158" i="2"/>
  <c r="N158" i="2"/>
  <c r="O157" i="2"/>
  <c r="N157" i="2"/>
  <c r="O156" i="2"/>
  <c r="N156" i="2"/>
  <c r="O155" i="2"/>
  <c r="N155" i="2"/>
  <c r="O154" i="2"/>
  <c r="N154" i="2"/>
  <c r="O153" i="2"/>
  <c r="N153" i="2"/>
  <c r="O152" i="2"/>
  <c r="N152" i="2"/>
  <c r="O151" i="2"/>
  <c r="N151" i="2"/>
  <c r="O150" i="2"/>
  <c r="N150" i="2"/>
  <c r="O149" i="2"/>
  <c r="N149" i="2"/>
  <c r="O148" i="2"/>
  <c r="N148" i="2"/>
  <c r="O147" i="2"/>
  <c r="N147" i="2"/>
  <c r="O146" i="2"/>
  <c r="N146" i="2"/>
  <c r="O145" i="2"/>
  <c r="N145" i="2"/>
  <c r="O144" i="2"/>
  <c r="N144" i="2"/>
  <c r="O143" i="2"/>
  <c r="N143" i="2"/>
  <c r="O142" i="2"/>
  <c r="N142" i="2"/>
  <c r="O141" i="2"/>
  <c r="N141" i="2"/>
  <c r="O140" i="2"/>
  <c r="N140" i="2"/>
  <c r="O139" i="2"/>
  <c r="N139" i="2"/>
  <c r="O138" i="2"/>
  <c r="N138" i="2"/>
  <c r="O137" i="2"/>
  <c r="N137" i="2"/>
  <c r="O136" i="2"/>
  <c r="N136" i="2"/>
  <c r="O135" i="2"/>
  <c r="N135" i="2"/>
  <c r="O134" i="2"/>
  <c r="N134" i="2"/>
  <c r="O133" i="2"/>
  <c r="N133" i="2"/>
  <c r="O132" i="2"/>
  <c r="N132" i="2"/>
  <c r="O131" i="2"/>
  <c r="N131" i="2"/>
  <c r="O130" i="2"/>
  <c r="N130" i="2"/>
  <c r="O129" i="2"/>
  <c r="N129" i="2"/>
  <c r="O128" i="2"/>
  <c r="N128" i="2"/>
  <c r="O127" i="2"/>
  <c r="N127" i="2"/>
  <c r="O126" i="2"/>
  <c r="N126" i="2"/>
  <c r="O125" i="2"/>
  <c r="N125" i="2"/>
  <c r="O124" i="2"/>
  <c r="N124" i="2"/>
  <c r="O123" i="2"/>
  <c r="N123" i="2"/>
  <c r="O122" i="2"/>
  <c r="N122" i="2"/>
  <c r="O121" i="2"/>
  <c r="N121" i="2"/>
  <c r="O120" i="2"/>
  <c r="N120" i="2"/>
  <c r="O119" i="2"/>
  <c r="N119" i="2"/>
  <c r="O118" i="2"/>
  <c r="N118" i="2"/>
  <c r="O117" i="2"/>
  <c r="N117" i="2"/>
  <c r="O116" i="2"/>
  <c r="N116" i="2"/>
  <c r="O115" i="2"/>
  <c r="N115" i="2"/>
  <c r="O114" i="2"/>
  <c r="N114" i="2"/>
  <c r="O113" i="2"/>
  <c r="N113" i="2"/>
  <c r="O112" i="2"/>
  <c r="N112" i="2"/>
  <c r="O111" i="2"/>
  <c r="N111" i="2"/>
  <c r="O110" i="2"/>
  <c r="N110" i="2"/>
  <c r="O109" i="2"/>
  <c r="N109" i="2"/>
  <c r="O108" i="2"/>
  <c r="N108" i="2"/>
  <c r="O107" i="2"/>
  <c r="N107" i="2"/>
  <c r="O106" i="2"/>
  <c r="N106" i="2"/>
  <c r="O105" i="2"/>
  <c r="N105" i="2"/>
  <c r="O104" i="2"/>
  <c r="N104" i="2"/>
  <c r="O103" i="2"/>
  <c r="N103" i="2"/>
  <c r="O102" i="2"/>
  <c r="N102" i="2"/>
  <c r="O101" i="2"/>
  <c r="N101" i="2"/>
  <c r="O100" i="2"/>
  <c r="N100" i="2"/>
  <c r="O99" i="2"/>
  <c r="N99" i="2"/>
  <c r="O98" i="2"/>
  <c r="N98" i="2"/>
  <c r="O97" i="2"/>
  <c r="N97" i="2"/>
  <c r="O96" i="2"/>
  <c r="N96" i="2"/>
  <c r="O95" i="2"/>
  <c r="N95" i="2"/>
  <c r="O94" i="2"/>
  <c r="N94" i="2"/>
  <c r="O93" i="2"/>
  <c r="N93" i="2"/>
  <c r="O92" i="2"/>
  <c r="N92" i="2"/>
  <c r="O91" i="2"/>
  <c r="N91" i="2"/>
  <c r="O90" i="2"/>
  <c r="N90" i="2"/>
  <c r="O89" i="2"/>
  <c r="N89" i="2"/>
  <c r="O88" i="2"/>
  <c r="N88" i="2"/>
  <c r="O87" i="2"/>
  <c r="N87" i="2"/>
  <c r="O86" i="2"/>
  <c r="N86" i="2"/>
  <c r="O85" i="2"/>
  <c r="N85" i="2"/>
  <c r="O84" i="2"/>
  <c r="N84" i="2"/>
  <c r="O83" i="2"/>
  <c r="N83" i="2"/>
  <c r="O82" i="2"/>
  <c r="N82" i="2"/>
  <c r="O81" i="2"/>
  <c r="N81" i="2"/>
  <c r="O80" i="2"/>
  <c r="N80" i="2"/>
  <c r="O79" i="2"/>
  <c r="N79" i="2"/>
  <c r="O78" i="2"/>
  <c r="N78" i="2"/>
  <c r="O77" i="2"/>
  <c r="N77" i="2"/>
  <c r="O76" i="2"/>
  <c r="N76" i="2"/>
  <c r="O75" i="2"/>
  <c r="N75" i="2"/>
  <c r="O74" i="2"/>
  <c r="N74" i="2"/>
  <c r="O73" i="2"/>
  <c r="N73" i="2"/>
  <c r="O72" i="2"/>
  <c r="N72" i="2"/>
  <c r="O71" i="2"/>
  <c r="N71" i="2"/>
  <c r="O70" i="2"/>
  <c r="N70" i="2"/>
  <c r="O69" i="2"/>
  <c r="N69" i="2"/>
  <c r="O68" i="2"/>
  <c r="N68" i="2"/>
  <c r="O67" i="2"/>
  <c r="N67" i="2"/>
  <c r="O66" i="2"/>
  <c r="N66" i="2"/>
  <c r="O65" i="2"/>
  <c r="N65" i="2"/>
  <c r="O64" i="2"/>
  <c r="N64" i="2"/>
  <c r="O63" i="2"/>
  <c r="N63" i="2"/>
  <c r="O62" i="2"/>
  <c r="N62" i="2"/>
  <c r="O61" i="2"/>
  <c r="N61" i="2"/>
  <c r="O60" i="2"/>
  <c r="N60" i="2"/>
  <c r="O59" i="2"/>
  <c r="N59" i="2"/>
  <c r="O58" i="2"/>
  <c r="N58" i="2"/>
  <c r="O57" i="2"/>
  <c r="N57" i="2"/>
  <c r="O56" i="2"/>
  <c r="N56" i="2"/>
  <c r="O55" i="2"/>
  <c r="N55" i="2"/>
  <c r="O54" i="2"/>
  <c r="N54" i="2"/>
  <c r="O53" i="2"/>
  <c r="N53" i="2"/>
  <c r="O52" i="2"/>
  <c r="N52" i="2"/>
  <c r="O51" i="2"/>
  <c r="N51" i="2"/>
  <c r="O50" i="2"/>
  <c r="N50" i="2"/>
  <c r="O49" i="2"/>
  <c r="N49" i="2"/>
  <c r="O48" i="2"/>
  <c r="N48" i="2"/>
  <c r="O47" i="2"/>
  <c r="N47" i="2"/>
  <c r="O46" i="2"/>
  <c r="N46" i="2"/>
  <c r="O45" i="2"/>
  <c r="N45" i="2"/>
  <c r="O44" i="2"/>
  <c r="N44" i="2"/>
  <c r="O43" i="2"/>
  <c r="N43" i="2"/>
  <c r="O42" i="2"/>
  <c r="N42" i="2"/>
  <c r="O41" i="2"/>
  <c r="N41" i="2"/>
  <c r="O40" i="2"/>
  <c r="N40" i="2"/>
  <c r="O39" i="2"/>
  <c r="N39" i="2"/>
  <c r="O38" i="2"/>
  <c r="N38" i="2"/>
  <c r="O37" i="2"/>
  <c r="N37" i="2"/>
  <c r="O36" i="2"/>
  <c r="N36" i="2"/>
  <c r="O35" i="2"/>
  <c r="N35" i="2"/>
  <c r="O34" i="2"/>
  <c r="N34" i="2"/>
  <c r="O33" i="2"/>
  <c r="N33" i="2"/>
  <c r="O32" i="2"/>
  <c r="N32" i="2"/>
  <c r="O31" i="2"/>
  <c r="N31" i="2"/>
  <c r="O30" i="2"/>
  <c r="N30" i="2"/>
  <c r="O29" i="2"/>
  <c r="N29" i="2"/>
  <c r="O28" i="2"/>
  <c r="N28" i="2"/>
  <c r="O27" i="2"/>
  <c r="N27" i="2"/>
  <c r="O26" i="2"/>
  <c r="N26" i="2"/>
  <c r="O25" i="2"/>
  <c r="N25" i="2"/>
  <c r="O24" i="2"/>
  <c r="N24" i="2"/>
  <c r="O23" i="2"/>
  <c r="N23" i="2"/>
  <c r="O22" i="2"/>
  <c r="N22" i="2"/>
  <c r="O21" i="2"/>
  <c r="N21" i="2"/>
  <c r="O20" i="2"/>
  <c r="N20" i="2"/>
  <c r="O19" i="2"/>
  <c r="N19" i="2"/>
  <c r="O18" i="2"/>
  <c r="N18" i="2"/>
  <c r="O17" i="2"/>
  <c r="N17" i="2"/>
  <c r="O16" i="2"/>
  <c r="N16" i="2"/>
  <c r="O15" i="2"/>
  <c r="N15" i="2"/>
  <c r="O14" i="2"/>
  <c r="N14" i="2"/>
  <c r="O13" i="2"/>
  <c r="N13" i="2"/>
  <c r="O12" i="2"/>
  <c r="N12" i="2"/>
  <c r="O11" i="2"/>
  <c r="N11" i="2"/>
  <c r="O10" i="2"/>
  <c r="N10" i="2"/>
  <c r="O9" i="2"/>
  <c r="N9" i="2"/>
  <c r="O8" i="2"/>
  <c r="N8" i="2"/>
  <c r="N7" i="2"/>
  <c r="H321" i="2"/>
  <c r="G321" i="2"/>
  <c r="F321" i="2"/>
  <c r="E321" i="2"/>
  <c r="D321" i="2"/>
  <c r="H320" i="2"/>
  <c r="G320" i="2"/>
  <c r="F320" i="2"/>
  <c r="E320" i="2"/>
  <c r="D320" i="2"/>
  <c r="H319" i="2"/>
  <c r="G319" i="2"/>
  <c r="F319" i="2"/>
  <c r="E319" i="2"/>
  <c r="D319" i="2"/>
  <c r="H318" i="2"/>
  <c r="G318" i="2"/>
  <c r="F318" i="2"/>
  <c r="E318" i="2"/>
  <c r="D318" i="2"/>
  <c r="H317" i="2"/>
  <c r="G317" i="2"/>
  <c r="F317" i="2"/>
  <c r="E317" i="2"/>
  <c r="D317" i="2"/>
  <c r="H316" i="2"/>
  <c r="G316" i="2"/>
  <c r="F316" i="2"/>
  <c r="E316" i="2"/>
  <c r="D316" i="2"/>
  <c r="H315" i="2"/>
  <c r="G315" i="2"/>
  <c r="F315" i="2"/>
  <c r="E315" i="2"/>
  <c r="D315" i="2"/>
  <c r="H314" i="2"/>
  <c r="G314" i="2"/>
  <c r="F314" i="2"/>
  <c r="E314" i="2"/>
  <c r="D314" i="2"/>
  <c r="H313" i="2"/>
  <c r="G313" i="2"/>
  <c r="F313" i="2"/>
  <c r="E313" i="2"/>
  <c r="D313" i="2"/>
  <c r="H312" i="2"/>
  <c r="G312" i="2"/>
  <c r="F312" i="2"/>
  <c r="E312" i="2"/>
  <c r="D312" i="2"/>
  <c r="H311" i="2"/>
  <c r="G311" i="2"/>
  <c r="F311" i="2"/>
  <c r="E311" i="2"/>
  <c r="D311" i="2"/>
  <c r="H310" i="2"/>
  <c r="G310" i="2"/>
  <c r="F310" i="2"/>
  <c r="E310" i="2"/>
  <c r="D310" i="2"/>
  <c r="H309" i="2"/>
  <c r="G309" i="2"/>
  <c r="F309" i="2"/>
  <c r="E309" i="2"/>
  <c r="D309" i="2"/>
  <c r="H308" i="2"/>
  <c r="G308" i="2"/>
  <c r="F308" i="2"/>
  <c r="E308" i="2"/>
  <c r="D308" i="2"/>
  <c r="H307" i="2"/>
  <c r="G307" i="2"/>
  <c r="F307" i="2"/>
  <c r="E307" i="2"/>
  <c r="D307" i="2"/>
  <c r="H306" i="2"/>
  <c r="G306" i="2"/>
  <c r="F306" i="2"/>
  <c r="E306" i="2"/>
  <c r="D306" i="2"/>
  <c r="H305" i="2"/>
  <c r="G305" i="2"/>
  <c r="F305" i="2"/>
  <c r="E305" i="2"/>
  <c r="D305" i="2"/>
  <c r="H304" i="2"/>
  <c r="G304" i="2"/>
  <c r="F304" i="2"/>
  <c r="E304" i="2"/>
  <c r="D304" i="2"/>
  <c r="H303" i="2"/>
  <c r="G303" i="2"/>
  <c r="F303" i="2"/>
  <c r="E303" i="2"/>
  <c r="D303" i="2"/>
  <c r="H302" i="2"/>
  <c r="G302" i="2"/>
  <c r="F302" i="2"/>
  <c r="E302" i="2"/>
  <c r="D302" i="2"/>
  <c r="H301" i="2"/>
  <c r="G301" i="2"/>
  <c r="F301" i="2"/>
  <c r="E301" i="2"/>
  <c r="D301" i="2"/>
  <c r="H300" i="2"/>
  <c r="G300" i="2"/>
  <c r="F300" i="2"/>
  <c r="E300" i="2"/>
  <c r="D300" i="2"/>
  <c r="H299" i="2"/>
  <c r="G299" i="2"/>
  <c r="F299" i="2"/>
  <c r="E299" i="2"/>
  <c r="D299" i="2"/>
  <c r="H298" i="2"/>
  <c r="G298" i="2"/>
  <c r="F298" i="2"/>
  <c r="E298" i="2"/>
  <c r="D298" i="2"/>
  <c r="H297" i="2"/>
  <c r="G297" i="2"/>
  <c r="F297" i="2"/>
  <c r="E297" i="2"/>
  <c r="D297" i="2"/>
  <c r="H296" i="2"/>
  <c r="G296" i="2"/>
  <c r="F296" i="2"/>
  <c r="E296" i="2"/>
  <c r="D296" i="2"/>
  <c r="H295" i="2"/>
  <c r="G295" i="2"/>
  <c r="F295" i="2"/>
  <c r="E295" i="2"/>
  <c r="D295" i="2"/>
  <c r="H294" i="2"/>
  <c r="G294" i="2"/>
  <c r="F294" i="2"/>
  <c r="E294" i="2"/>
  <c r="D294" i="2"/>
  <c r="H293" i="2"/>
  <c r="G293" i="2"/>
  <c r="F293" i="2"/>
  <c r="E293" i="2"/>
  <c r="D293" i="2"/>
  <c r="H292" i="2"/>
  <c r="G292" i="2"/>
  <c r="F292" i="2"/>
  <c r="E292" i="2"/>
  <c r="D292" i="2"/>
  <c r="H291" i="2"/>
  <c r="G291" i="2"/>
  <c r="F291" i="2"/>
  <c r="E291" i="2"/>
  <c r="D291" i="2"/>
  <c r="H290" i="2"/>
  <c r="G290" i="2"/>
  <c r="F290" i="2"/>
  <c r="E290" i="2"/>
  <c r="D290" i="2"/>
  <c r="H289" i="2"/>
  <c r="G289" i="2"/>
  <c r="F289" i="2"/>
  <c r="E289" i="2"/>
  <c r="D289" i="2"/>
  <c r="H288" i="2"/>
  <c r="G288" i="2"/>
  <c r="F288" i="2"/>
  <c r="E288" i="2"/>
  <c r="D288" i="2"/>
  <c r="H287" i="2"/>
  <c r="G287" i="2"/>
  <c r="F287" i="2"/>
  <c r="E287" i="2"/>
  <c r="D287" i="2"/>
  <c r="H286" i="2"/>
  <c r="G286" i="2"/>
  <c r="F286" i="2"/>
  <c r="E286" i="2"/>
  <c r="D286" i="2"/>
  <c r="H285" i="2"/>
  <c r="G285" i="2"/>
  <c r="F285" i="2"/>
  <c r="E285" i="2"/>
  <c r="D285" i="2"/>
  <c r="H284" i="2"/>
  <c r="G284" i="2"/>
  <c r="F284" i="2"/>
  <c r="E284" i="2"/>
  <c r="D284" i="2"/>
  <c r="H283" i="2"/>
  <c r="G283" i="2"/>
  <c r="F283" i="2"/>
  <c r="E283" i="2"/>
  <c r="D283" i="2"/>
  <c r="H282" i="2"/>
  <c r="G282" i="2"/>
  <c r="F282" i="2"/>
  <c r="E282" i="2"/>
  <c r="D282" i="2"/>
  <c r="H281" i="2"/>
  <c r="G281" i="2"/>
  <c r="F281" i="2"/>
  <c r="E281" i="2"/>
  <c r="D281" i="2"/>
  <c r="H280" i="2"/>
  <c r="G280" i="2"/>
  <c r="F280" i="2"/>
  <c r="E280" i="2"/>
  <c r="D280" i="2"/>
  <c r="H279" i="2"/>
  <c r="G279" i="2"/>
  <c r="F279" i="2"/>
  <c r="E279" i="2"/>
  <c r="D279" i="2"/>
  <c r="H278" i="2"/>
  <c r="G278" i="2"/>
  <c r="F278" i="2"/>
  <c r="E278" i="2"/>
  <c r="D278" i="2"/>
  <c r="H277" i="2"/>
  <c r="G277" i="2"/>
  <c r="F277" i="2"/>
  <c r="E277" i="2"/>
  <c r="D277" i="2"/>
  <c r="H276" i="2"/>
  <c r="G276" i="2"/>
  <c r="F276" i="2"/>
  <c r="E276" i="2"/>
  <c r="D276" i="2"/>
  <c r="H275" i="2"/>
  <c r="G275" i="2"/>
  <c r="F275" i="2"/>
  <c r="E275" i="2"/>
  <c r="D275" i="2"/>
  <c r="H274" i="2"/>
  <c r="G274" i="2"/>
  <c r="F274" i="2"/>
  <c r="E274" i="2"/>
  <c r="D274" i="2"/>
  <c r="H273" i="2"/>
  <c r="G273" i="2"/>
  <c r="F273" i="2"/>
  <c r="E273" i="2"/>
  <c r="D273" i="2"/>
  <c r="H272" i="2"/>
  <c r="G272" i="2"/>
  <c r="F272" i="2"/>
  <c r="E272" i="2"/>
  <c r="D272" i="2"/>
  <c r="H271" i="2"/>
  <c r="G271" i="2"/>
  <c r="F271" i="2"/>
  <c r="E271" i="2"/>
  <c r="D271" i="2"/>
  <c r="H270" i="2"/>
  <c r="G270" i="2"/>
  <c r="F270" i="2"/>
  <c r="E270" i="2"/>
  <c r="D270" i="2"/>
  <c r="H269" i="2"/>
  <c r="G269" i="2"/>
  <c r="F269" i="2"/>
  <c r="E269" i="2"/>
  <c r="D269" i="2"/>
  <c r="H268" i="2"/>
  <c r="G268" i="2"/>
  <c r="F268" i="2"/>
  <c r="E268" i="2"/>
  <c r="D268" i="2"/>
  <c r="H267" i="2"/>
  <c r="G267" i="2"/>
  <c r="F267" i="2"/>
  <c r="E267" i="2"/>
  <c r="D267" i="2"/>
  <c r="H266" i="2"/>
  <c r="G266" i="2"/>
  <c r="F266" i="2"/>
  <c r="E266" i="2"/>
  <c r="D266" i="2"/>
  <c r="H265" i="2"/>
  <c r="G265" i="2"/>
  <c r="F265" i="2"/>
  <c r="E265" i="2"/>
  <c r="D265" i="2"/>
  <c r="H264" i="2"/>
  <c r="G264" i="2"/>
  <c r="F264" i="2"/>
  <c r="E264" i="2"/>
  <c r="D264" i="2"/>
  <c r="H263" i="2"/>
  <c r="G263" i="2"/>
  <c r="F263" i="2"/>
  <c r="E263" i="2"/>
  <c r="D263" i="2"/>
  <c r="H262" i="2"/>
  <c r="G262" i="2"/>
  <c r="F262" i="2"/>
  <c r="E262" i="2"/>
  <c r="D262" i="2"/>
  <c r="H261" i="2"/>
  <c r="G261" i="2"/>
  <c r="F261" i="2"/>
  <c r="E261" i="2"/>
  <c r="D261" i="2"/>
  <c r="H260" i="2"/>
  <c r="G260" i="2"/>
  <c r="F260" i="2"/>
  <c r="E260" i="2"/>
  <c r="D260" i="2"/>
  <c r="H259" i="2"/>
  <c r="G259" i="2"/>
  <c r="F259" i="2"/>
  <c r="E259" i="2"/>
  <c r="D259" i="2"/>
  <c r="H258" i="2"/>
  <c r="G258" i="2"/>
  <c r="F258" i="2"/>
  <c r="E258" i="2"/>
  <c r="D258" i="2"/>
  <c r="H257" i="2"/>
  <c r="G257" i="2"/>
  <c r="F257" i="2"/>
  <c r="E257" i="2"/>
  <c r="D257" i="2"/>
  <c r="H256" i="2"/>
  <c r="G256" i="2"/>
  <c r="F256" i="2"/>
  <c r="E256" i="2"/>
  <c r="D256" i="2"/>
  <c r="H255" i="2"/>
  <c r="G255" i="2"/>
  <c r="F255" i="2"/>
  <c r="E255" i="2"/>
  <c r="D255" i="2"/>
  <c r="H254" i="2"/>
  <c r="G254" i="2"/>
  <c r="F254" i="2"/>
  <c r="E254" i="2"/>
  <c r="D254" i="2"/>
  <c r="H253" i="2"/>
  <c r="G253" i="2"/>
  <c r="F253" i="2"/>
  <c r="E253" i="2"/>
  <c r="D253" i="2"/>
  <c r="H252" i="2"/>
  <c r="G252" i="2"/>
  <c r="F252" i="2"/>
  <c r="E252" i="2"/>
  <c r="D252" i="2"/>
  <c r="H251" i="2"/>
  <c r="G251" i="2"/>
  <c r="F251" i="2"/>
  <c r="E251" i="2"/>
  <c r="D251" i="2"/>
  <c r="H250" i="2"/>
  <c r="G250" i="2"/>
  <c r="F250" i="2"/>
  <c r="E250" i="2"/>
  <c r="D250" i="2"/>
  <c r="H249" i="2"/>
  <c r="G249" i="2"/>
  <c r="F249" i="2"/>
  <c r="E249" i="2"/>
  <c r="D249" i="2"/>
  <c r="H248" i="2"/>
  <c r="G248" i="2"/>
  <c r="F248" i="2"/>
  <c r="E248" i="2"/>
  <c r="D248" i="2"/>
  <c r="H247" i="2"/>
  <c r="G247" i="2"/>
  <c r="F247" i="2"/>
  <c r="E247" i="2"/>
  <c r="D247" i="2"/>
  <c r="H246" i="2"/>
  <c r="G246" i="2"/>
  <c r="F246" i="2"/>
  <c r="E246" i="2"/>
  <c r="D246" i="2"/>
  <c r="H245" i="2"/>
  <c r="G245" i="2"/>
  <c r="F245" i="2"/>
  <c r="E245" i="2"/>
  <c r="D245" i="2"/>
  <c r="H244" i="2"/>
  <c r="G244" i="2"/>
  <c r="F244" i="2"/>
  <c r="E244" i="2"/>
  <c r="D244" i="2"/>
  <c r="H243" i="2"/>
  <c r="G243" i="2"/>
  <c r="F243" i="2"/>
  <c r="E243" i="2"/>
  <c r="D243" i="2"/>
  <c r="H242" i="2"/>
  <c r="G242" i="2"/>
  <c r="F242" i="2"/>
  <c r="E242" i="2"/>
  <c r="D242" i="2"/>
  <c r="H241" i="2"/>
  <c r="G241" i="2"/>
  <c r="F241" i="2"/>
  <c r="E241" i="2"/>
  <c r="D241" i="2"/>
  <c r="H240" i="2"/>
  <c r="G240" i="2"/>
  <c r="F240" i="2"/>
  <c r="E240" i="2"/>
  <c r="D240" i="2"/>
  <c r="H239" i="2"/>
  <c r="G239" i="2"/>
  <c r="F239" i="2"/>
  <c r="E239" i="2"/>
  <c r="D239" i="2"/>
  <c r="H238" i="2"/>
  <c r="G238" i="2"/>
  <c r="F238" i="2"/>
  <c r="E238" i="2"/>
  <c r="D238" i="2"/>
  <c r="H237" i="2"/>
  <c r="G237" i="2"/>
  <c r="F237" i="2"/>
  <c r="E237" i="2"/>
  <c r="D237" i="2"/>
  <c r="H236" i="2"/>
  <c r="G236" i="2"/>
  <c r="F236" i="2"/>
  <c r="E236" i="2"/>
  <c r="D236" i="2"/>
  <c r="H235" i="2"/>
  <c r="G235" i="2"/>
  <c r="F235" i="2"/>
  <c r="E235" i="2"/>
  <c r="D235" i="2"/>
  <c r="H234" i="2"/>
  <c r="G234" i="2"/>
  <c r="F234" i="2"/>
  <c r="E234" i="2"/>
  <c r="D234" i="2"/>
  <c r="H233" i="2"/>
  <c r="G233" i="2"/>
  <c r="F233" i="2"/>
  <c r="E233" i="2"/>
  <c r="D233" i="2"/>
  <c r="H232" i="2"/>
  <c r="G232" i="2"/>
  <c r="F232" i="2"/>
  <c r="E232" i="2"/>
  <c r="D232" i="2"/>
  <c r="H231" i="2"/>
  <c r="G231" i="2"/>
  <c r="F231" i="2"/>
  <c r="E231" i="2"/>
  <c r="D231" i="2"/>
  <c r="H230" i="2"/>
  <c r="G230" i="2"/>
  <c r="F230" i="2"/>
  <c r="E230" i="2"/>
  <c r="D230" i="2"/>
  <c r="H229" i="2"/>
  <c r="G229" i="2"/>
  <c r="F229" i="2"/>
  <c r="E229" i="2"/>
  <c r="D229" i="2"/>
  <c r="H228" i="2"/>
  <c r="G228" i="2"/>
  <c r="F228" i="2"/>
  <c r="E228" i="2"/>
  <c r="D228" i="2"/>
  <c r="H227" i="2"/>
  <c r="G227" i="2"/>
  <c r="F227" i="2"/>
  <c r="E227" i="2"/>
  <c r="D227" i="2"/>
  <c r="H226" i="2"/>
  <c r="G226" i="2"/>
  <c r="F226" i="2"/>
  <c r="E226" i="2"/>
  <c r="D226" i="2"/>
  <c r="H225" i="2"/>
  <c r="G225" i="2"/>
  <c r="F225" i="2"/>
  <c r="E225" i="2"/>
  <c r="D225" i="2"/>
  <c r="H224" i="2"/>
  <c r="G224" i="2"/>
  <c r="F224" i="2"/>
  <c r="E224" i="2"/>
  <c r="D224" i="2"/>
  <c r="H223" i="2"/>
  <c r="G223" i="2"/>
  <c r="F223" i="2"/>
  <c r="E223" i="2"/>
  <c r="D223" i="2"/>
  <c r="H222" i="2"/>
  <c r="G222" i="2"/>
  <c r="F222" i="2"/>
  <c r="E222" i="2"/>
  <c r="D222" i="2"/>
  <c r="H221" i="2"/>
  <c r="G221" i="2"/>
  <c r="F221" i="2"/>
  <c r="E221" i="2"/>
  <c r="D221" i="2"/>
  <c r="H220" i="2"/>
  <c r="G220" i="2"/>
  <c r="F220" i="2"/>
  <c r="E220" i="2"/>
  <c r="D220" i="2"/>
  <c r="H219" i="2"/>
  <c r="G219" i="2"/>
  <c r="F219" i="2"/>
  <c r="E219" i="2"/>
  <c r="D219" i="2"/>
  <c r="H218" i="2"/>
  <c r="G218" i="2"/>
  <c r="F218" i="2"/>
  <c r="E218" i="2"/>
  <c r="D218" i="2"/>
  <c r="H217" i="2"/>
  <c r="G217" i="2"/>
  <c r="F217" i="2"/>
  <c r="E217" i="2"/>
  <c r="D217" i="2"/>
  <c r="H216" i="2"/>
  <c r="G216" i="2"/>
  <c r="F216" i="2"/>
  <c r="E216" i="2"/>
  <c r="D216" i="2"/>
  <c r="H215" i="2"/>
  <c r="G215" i="2"/>
  <c r="F215" i="2"/>
  <c r="E215" i="2"/>
  <c r="D215" i="2"/>
  <c r="H214" i="2"/>
  <c r="G214" i="2"/>
  <c r="F214" i="2"/>
  <c r="E214" i="2"/>
  <c r="D214" i="2"/>
  <c r="H213" i="2"/>
  <c r="G213" i="2"/>
  <c r="F213" i="2"/>
  <c r="E213" i="2"/>
  <c r="D213" i="2"/>
  <c r="H212" i="2"/>
  <c r="G212" i="2"/>
  <c r="F212" i="2"/>
  <c r="E212" i="2"/>
  <c r="D212" i="2"/>
  <c r="H211" i="2"/>
  <c r="G211" i="2"/>
  <c r="F211" i="2"/>
  <c r="E211" i="2"/>
  <c r="D211" i="2"/>
  <c r="H210" i="2"/>
  <c r="G210" i="2"/>
  <c r="F210" i="2"/>
  <c r="E210" i="2"/>
  <c r="D210" i="2"/>
  <c r="H209" i="2"/>
  <c r="G209" i="2"/>
  <c r="F209" i="2"/>
  <c r="E209" i="2"/>
  <c r="D209" i="2"/>
  <c r="H208" i="2"/>
  <c r="G208" i="2"/>
  <c r="F208" i="2"/>
  <c r="E208" i="2"/>
  <c r="D208" i="2"/>
  <c r="H207" i="2"/>
  <c r="G207" i="2"/>
  <c r="F207" i="2"/>
  <c r="E207" i="2"/>
  <c r="D207" i="2"/>
  <c r="H206" i="2"/>
  <c r="G206" i="2"/>
  <c r="F206" i="2"/>
  <c r="E206" i="2"/>
  <c r="D206" i="2"/>
  <c r="H205" i="2"/>
  <c r="G205" i="2"/>
  <c r="F205" i="2"/>
  <c r="E205" i="2"/>
  <c r="D205" i="2"/>
  <c r="H204" i="2"/>
  <c r="G204" i="2"/>
  <c r="F204" i="2"/>
  <c r="E204" i="2"/>
  <c r="D204" i="2"/>
  <c r="H203" i="2"/>
  <c r="G203" i="2"/>
  <c r="F203" i="2"/>
  <c r="E203" i="2"/>
  <c r="D203" i="2"/>
  <c r="H202" i="2"/>
  <c r="G202" i="2"/>
  <c r="F202" i="2"/>
  <c r="E202" i="2"/>
  <c r="D202" i="2"/>
  <c r="H201" i="2"/>
  <c r="G201" i="2"/>
  <c r="F201" i="2"/>
  <c r="E201" i="2"/>
  <c r="D201" i="2"/>
  <c r="H200" i="2"/>
  <c r="G200" i="2"/>
  <c r="F200" i="2"/>
  <c r="E200" i="2"/>
  <c r="D200" i="2"/>
  <c r="H199" i="2"/>
  <c r="G199" i="2"/>
  <c r="F199" i="2"/>
  <c r="E199" i="2"/>
  <c r="D199" i="2"/>
  <c r="H198" i="2"/>
  <c r="G198" i="2"/>
  <c r="F198" i="2"/>
  <c r="E198" i="2"/>
  <c r="D198" i="2"/>
  <c r="H197" i="2"/>
  <c r="G197" i="2"/>
  <c r="F197" i="2"/>
  <c r="E197" i="2"/>
  <c r="D197" i="2"/>
  <c r="H196" i="2"/>
  <c r="G196" i="2"/>
  <c r="F196" i="2"/>
  <c r="E196" i="2"/>
  <c r="D196" i="2"/>
  <c r="H195" i="2"/>
  <c r="G195" i="2"/>
  <c r="F195" i="2"/>
  <c r="E195" i="2"/>
  <c r="D195" i="2"/>
  <c r="H194" i="2"/>
  <c r="G194" i="2"/>
  <c r="F194" i="2"/>
  <c r="E194" i="2"/>
  <c r="D194" i="2"/>
  <c r="H193" i="2"/>
  <c r="G193" i="2"/>
  <c r="F193" i="2"/>
  <c r="E193" i="2"/>
  <c r="D193" i="2"/>
  <c r="H192" i="2"/>
  <c r="G192" i="2"/>
  <c r="F192" i="2"/>
  <c r="E192" i="2"/>
  <c r="D192" i="2"/>
  <c r="H191" i="2"/>
  <c r="G191" i="2"/>
  <c r="F191" i="2"/>
  <c r="E191" i="2"/>
  <c r="D191" i="2"/>
  <c r="H190" i="2"/>
  <c r="G190" i="2"/>
  <c r="F190" i="2"/>
  <c r="E190" i="2"/>
  <c r="D190" i="2"/>
  <c r="H189" i="2"/>
  <c r="G189" i="2"/>
  <c r="F189" i="2"/>
  <c r="E189" i="2"/>
  <c r="D189" i="2"/>
  <c r="H188" i="2"/>
  <c r="G188" i="2"/>
  <c r="F188" i="2"/>
  <c r="E188" i="2"/>
  <c r="D188" i="2"/>
  <c r="H187" i="2"/>
  <c r="G187" i="2"/>
  <c r="F187" i="2"/>
  <c r="E187" i="2"/>
  <c r="D187" i="2"/>
  <c r="H186" i="2"/>
  <c r="G186" i="2"/>
  <c r="F186" i="2"/>
  <c r="E186" i="2"/>
  <c r="D186" i="2"/>
  <c r="H185" i="2"/>
  <c r="G185" i="2"/>
  <c r="F185" i="2"/>
  <c r="E185" i="2"/>
  <c r="D185" i="2"/>
  <c r="H184" i="2"/>
  <c r="G184" i="2"/>
  <c r="F184" i="2"/>
  <c r="E184" i="2"/>
  <c r="D184" i="2"/>
  <c r="H183" i="2"/>
  <c r="G183" i="2"/>
  <c r="F183" i="2"/>
  <c r="E183" i="2"/>
  <c r="D183" i="2"/>
  <c r="H182" i="2"/>
  <c r="G182" i="2"/>
  <c r="F182" i="2"/>
  <c r="E182" i="2"/>
  <c r="D182" i="2"/>
  <c r="H181" i="2"/>
  <c r="G181" i="2"/>
  <c r="F181" i="2"/>
  <c r="E181" i="2"/>
  <c r="D181" i="2"/>
  <c r="H180" i="2"/>
  <c r="G180" i="2"/>
  <c r="F180" i="2"/>
  <c r="E180" i="2"/>
  <c r="D180" i="2"/>
  <c r="H179" i="2"/>
  <c r="G179" i="2"/>
  <c r="F179" i="2"/>
  <c r="E179" i="2"/>
  <c r="D179" i="2"/>
  <c r="H178" i="2"/>
  <c r="G178" i="2"/>
  <c r="F178" i="2"/>
  <c r="E178" i="2"/>
  <c r="D178" i="2"/>
  <c r="H177" i="2"/>
  <c r="G177" i="2"/>
  <c r="F177" i="2"/>
  <c r="E177" i="2"/>
  <c r="D177" i="2"/>
  <c r="H176" i="2"/>
  <c r="G176" i="2"/>
  <c r="F176" i="2"/>
  <c r="E176" i="2"/>
  <c r="D176" i="2"/>
  <c r="H175" i="2"/>
  <c r="G175" i="2"/>
  <c r="F175" i="2"/>
  <c r="E175" i="2"/>
  <c r="D175" i="2"/>
  <c r="H174" i="2"/>
  <c r="G174" i="2"/>
  <c r="F174" i="2"/>
  <c r="E174" i="2"/>
  <c r="D174" i="2"/>
  <c r="H173" i="2"/>
  <c r="G173" i="2"/>
  <c r="F173" i="2"/>
  <c r="E173" i="2"/>
  <c r="D173" i="2"/>
  <c r="H172" i="2"/>
  <c r="G172" i="2"/>
  <c r="F172" i="2"/>
  <c r="E172" i="2"/>
  <c r="D172" i="2"/>
  <c r="H171" i="2"/>
  <c r="G171" i="2"/>
  <c r="F171" i="2"/>
  <c r="E171" i="2"/>
  <c r="D171" i="2"/>
  <c r="H170" i="2"/>
  <c r="G170" i="2"/>
  <c r="F170" i="2"/>
  <c r="E170" i="2"/>
  <c r="D170" i="2"/>
  <c r="H169" i="2"/>
  <c r="G169" i="2"/>
  <c r="F169" i="2"/>
  <c r="E169" i="2"/>
  <c r="D169" i="2"/>
  <c r="H168" i="2"/>
  <c r="G168" i="2"/>
  <c r="F168" i="2"/>
  <c r="E168" i="2"/>
  <c r="D168" i="2"/>
  <c r="H167" i="2"/>
  <c r="G167" i="2"/>
  <c r="F167" i="2"/>
  <c r="E167" i="2"/>
  <c r="D167" i="2"/>
  <c r="H166" i="2"/>
  <c r="G166" i="2"/>
  <c r="F166" i="2"/>
  <c r="E166" i="2"/>
  <c r="D166" i="2"/>
  <c r="H165" i="2"/>
  <c r="G165" i="2"/>
  <c r="F165" i="2"/>
  <c r="E165" i="2"/>
  <c r="D165" i="2"/>
  <c r="H164" i="2"/>
  <c r="G164" i="2"/>
  <c r="F164" i="2"/>
  <c r="E164" i="2"/>
  <c r="D164" i="2"/>
  <c r="H163" i="2"/>
  <c r="G163" i="2"/>
  <c r="F163" i="2"/>
  <c r="E163" i="2"/>
  <c r="D163" i="2"/>
  <c r="H162" i="2"/>
  <c r="G162" i="2"/>
  <c r="F162" i="2"/>
  <c r="E162" i="2"/>
  <c r="D162" i="2"/>
  <c r="H161" i="2"/>
  <c r="G161" i="2"/>
  <c r="F161" i="2"/>
  <c r="E161" i="2"/>
  <c r="D161" i="2"/>
  <c r="H160" i="2"/>
  <c r="G160" i="2"/>
  <c r="F160" i="2"/>
  <c r="E160" i="2"/>
  <c r="D160" i="2"/>
  <c r="H159" i="2"/>
  <c r="G159" i="2"/>
  <c r="F159" i="2"/>
  <c r="E159" i="2"/>
  <c r="D159" i="2"/>
  <c r="H158" i="2"/>
  <c r="G158" i="2"/>
  <c r="F158" i="2"/>
  <c r="E158" i="2"/>
  <c r="D158" i="2"/>
  <c r="H157" i="2"/>
  <c r="G157" i="2"/>
  <c r="F157" i="2"/>
  <c r="E157" i="2"/>
  <c r="D157" i="2"/>
  <c r="H156" i="2"/>
  <c r="G156" i="2"/>
  <c r="F156" i="2"/>
  <c r="E156" i="2"/>
  <c r="D156" i="2"/>
  <c r="H155" i="2"/>
  <c r="G155" i="2"/>
  <c r="F155" i="2"/>
  <c r="E155" i="2"/>
  <c r="D155" i="2"/>
  <c r="H154" i="2"/>
  <c r="G154" i="2"/>
  <c r="F154" i="2"/>
  <c r="E154" i="2"/>
  <c r="D154" i="2"/>
  <c r="H153" i="2"/>
  <c r="G153" i="2"/>
  <c r="F153" i="2"/>
  <c r="E153" i="2"/>
  <c r="D153" i="2"/>
  <c r="H152" i="2"/>
  <c r="G152" i="2"/>
  <c r="F152" i="2"/>
  <c r="E152" i="2"/>
  <c r="D152" i="2"/>
  <c r="H151" i="2"/>
  <c r="G151" i="2"/>
  <c r="F151" i="2"/>
  <c r="E151" i="2"/>
  <c r="D151" i="2"/>
  <c r="H150" i="2"/>
  <c r="G150" i="2"/>
  <c r="F150" i="2"/>
  <c r="E150" i="2"/>
  <c r="D150" i="2"/>
  <c r="H149" i="2"/>
  <c r="G149" i="2"/>
  <c r="F149" i="2"/>
  <c r="E149" i="2"/>
  <c r="D149" i="2"/>
  <c r="H148" i="2"/>
  <c r="G148" i="2"/>
  <c r="F148" i="2"/>
  <c r="E148" i="2"/>
  <c r="D148" i="2"/>
  <c r="H147" i="2"/>
  <c r="G147" i="2"/>
  <c r="F147" i="2"/>
  <c r="E147" i="2"/>
  <c r="D147" i="2"/>
  <c r="H146" i="2"/>
  <c r="G146" i="2"/>
  <c r="F146" i="2"/>
  <c r="E146" i="2"/>
  <c r="D146" i="2"/>
  <c r="H145" i="2"/>
  <c r="G145" i="2"/>
  <c r="F145" i="2"/>
  <c r="E145" i="2"/>
  <c r="D145" i="2"/>
  <c r="H144" i="2"/>
  <c r="G144" i="2"/>
  <c r="F144" i="2"/>
  <c r="E144" i="2"/>
  <c r="D144" i="2"/>
  <c r="H143" i="2"/>
  <c r="G143" i="2"/>
  <c r="F143" i="2"/>
  <c r="E143" i="2"/>
  <c r="D143" i="2"/>
  <c r="H142" i="2"/>
  <c r="G142" i="2"/>
  <c r="F142" i="2"/>
  <c r="E142" i="2"/>
  <c r="D142" i="2"/>
  <c r="H141" i="2"/>
  <c r="G141" i="2"/>
  <c r="F141" i="2"/>
  <c r="E141" i="2"/>
  <c r="D141" i="2"/>
  <c r="H140" i="2"/>
  <c r="G140" i="2"/>
  <c r="F140" i="2"/>
  <c r="E140" i="2"/>
  <c r="D140" i="2"/>
  <c r="H139" i="2"/>
  <c r="G139" i="2"/>
  <c r="F139" i="2"/>
  <c r="E139" i="2"/>
  <c r="D139" i="2"/>
  <c r="H138" i="2"/>
  <c r="G138" i="2"/>
  <c r="F138" i="2"/>
  <c r="E138" i="2"/>
  <c r="D138" i="2"/>
  <c r="H137" i="2"/>
  <c r="G137" i="2"/>
  <c r="F137" i="2"/>
  <c r="E137" i="2"/>
  <c r="D137" i="2"/>
  <c r="H136" i="2"/>
  <c r="G136" i="2"/>
  <c r="F136" i="2"/>
  <c r="E136" i="2"/>
  <c r="D136" i="2"/>
  <c r="H135" i="2"/>
  <c r="G135" i="2"/>
  <c r="F135" i="2"/>
  <c r="E135" i="2"/>
  <c r="D135" i="2"/>
  <c r="H134" i="2"/>
  <c r="G134" i="2"/>
  <c r="F134" i="2"/>
  <c r="E134" i="2"/>
  <c r="D134" i="2"/>
  <c r="H133" i="2"/>
  <c r="G133" i="2"/>
  <c r="F133" i="2"/>
  <c r="E133" i="2"/>
  <c r="D133" i="2"/>
  <c r="H132" i="2"/>
  <c r="G132" i="2"/>
  <c r="F132" i="2"/>
  <c r="E132" i="2"/>
  <c r="D132" i="2"/>
  <c r="H131" i="2"/>
  <c r="G131" i="2"/>
  <c r="F131" i="2"/>
  <c r="E131" i="2"/>
  <c r="D131" i="2"/>
  <c r="H130" i="2"/>
  <c r="G130" i="2"/>
  <c r="F130" i="2"/>
  <c r="E130" i="2"/>
  <c r="D130" i="2"/>
  <c r="H129" i="2"/>
  <c r="G129" i="2"/>
  <c r="F129" i="2"/>
  <c r="E129" i="2"/>
  <c r="D129" i="2"/>
  <c r="H128" i="2"/>
  <c r="G128" i="2"/>
  <c r="F128" i="2"/>
  <c r="E128" i="2"/>
  <c r="D128" i="2"/>
  <c r="H127" i="2"/>
  <c r="G127" i="2"/>
  <c r="F127" i="2"/>
  <c r="E127" i="2"/>
  <c r="D127" i="2"/>
  <c r="H126" i="2"/>
  <c r="G126" i="2"/>
  <c r="F126" i="2"/>
  <c r="E126" i="2"/>
  <c r="D126" i="2"/>
  <c r="H125" i="2"/>
  <c r="G125" i="2"/>
  <c r="F125" i="2"/>
  <c r="E125" i="2"/>
  <c r="D125" i="2"/>
  <c r="H124" i="2"/>
  <c r="G124" i="2"/>
  <c r="F124" i="2"/>
  <c r="E124" i="2"/>
  <c r="D124" i="2"/>
  <c r="H123" i="2"/>
  <c r="G123" i="2"/>
  <c r="F123" i="2"/>
  <c r="E123" i="2"/>
  <c r="D123" i="2"/>
  <c r="H122" i="2"/>
  <c r="G122" i="2"/>
  <c r="F122" i="2"/>
  <c r="E122" i="2"/>
  <c r="D122" i="2"/>
  <c r="H121" i="2"/>
  <c r="G121" i="2"/>
  <c r="F121" i="2"/>
  <c r="E121" i="2"/>
  <c r="D121" i="2"/>
  <c r="H120" i="2"/>
  <c r="G120" i="2"/>
  <c r="F120" i="2"/>
  <c r="E120" i="2"/>
  <c r="D120" i="2"/>
  <c r="H119" i="2"/>
  <c r="G119" i="2"/>
  <c r="F119" i="2"/>
  <c r="E119" i="2"/>
  <c r="D119" i="2"/>
  <c r="H118" i="2"/>
  <c r="G118" i="2"/>
  <c r="F118" i="2"/>
  <c r="E118" i="2"/>
  <c r="D118" i="2"/>
  <c r="H117" i="2"/>
  <c r="G117" i="2"/>
  <c r="F117" i="2"/>
  <c r="E117" i="2"/>
  <c r="D117" i="2"/>
  <c r="H116" i="2"/>
  <c r="G116" i="2"/>
  <c r="F116" i="2"/>
  <c r="E116" i="2"/>
  <c r="D116" i="2"/>
  <c r="H115" i="2"/>
  <c r="G115" i="2"/>
  <c r="F115" i="2"/>
  <c r="E115" i="2"/>
  <c r="D115" i="2"/>
  <c r="H114" i="2"/>
  <c r="G114" i="2"/>
  <c r="F114" i="2"/>
  <c r="E114" i="2"/>
  <c r="D114" i="2"/>
  <c r="H113" i="2"/>
  <c r="G113" i="2"/>
  <c r="F113" i="2"/>
  <c r="E113" i="2"/>
  <c r="D113" i="2"/>
  <c r="H112" i="2"/>
  <c r="G112" i="2"/>
  <c r="F112" i="2"/>
  <c r="E112" i="2"/>
  <c r="D112" i="2"/>
  <c r="H111" i="2"/>
  <c r="G111" i="2"/>
  <c r="F111" i="2"/>
  <c r="E111" i="2"/>
  <c r="D111" i="2"/>
  <c r="H110" i="2"/>
  <c r="G110" i="2"/>
  <c r="F110" i="2"/>
  <c r="E110" i="2"/>
  <c r="D110" i="2"/>
  <c r="H109" i="2"/>
  <c r="G109" i="2"/>
  <c r="F109" i="2"/>
  <c r="E109" i="2"/>
  <c r="D109" i="2"/>
  <c r="H108" i="2"/>
  <c r="G108" i="2"/>
  <c r="E108" i="2"/>
  <c r="D108" i="2"/>
  <c r="H107" i="2"/>
  <c r="G107" i="2"/>
  <c r="E107" i="2"/>
  <c r="D107" i="2"/>
  <c r="H106" i="2"/>
  <c r="G106" i="2"/>
  <c r="E106" i="2"/>
  <c r="D106" i="2"/>
  <c r="H105" i="2"/>
  <c r="G105" i="2"/>
  <c r="E105" i="2"/>
  <c r="D105" i="2"/>
  <c r="H104" i="2"/>
  <c r="G104" i="2"/>
  <c r="E104" i="2"/>
  <c r="D104" i="2"/>
  <c r="H103" i="2"/>
  <c r="G103" i="2"/>
  <c r="E103" i="2"/>
  <c r="D103" i="2"/>
  <c r="H102" i="2"/>
  <c r="G102" i="2"/>
  <c r="E102" i="2"/>
  <c r="D102" i="2"/>
  <c r="H101" i="2"/>
  <c r="G101" i="2"/>
  <c r="E101" i="2"/>
  <c r="D101" i="2"/>
  <c r="H100" i="2"/>
  <c r="G100" i="2"/>
  <c r="E100" i="2"/>
  <c r="D100" i="2"/>
  <c r="H99" i="2"/>
  <c r="G99" i="2"/>
  <c r="E99" i="2"/>
  <c r="D99" i="2"/>
  <c r="H98" i="2"/>
  <c r="G98" i="2"/>
  <c r="E98" i="2"/>
  <c r="D98" i="2"/>
  <c r="H97" i="2"/>
  <c r="G97" i="2"/>
  <c r="E97" i="2"/>
  <c r="D97" i="2"/>
  <c r="H96" i="2"/>
  <c r="G96" i="2"/>
  <c r="E96" i="2"/>
  <c r="D96" i="2"/>
  <c r="H95" i="2"/>
  <c r="G95" i="2"/>
  <c r="E95" i="2"/>
  <c r="D95" i="2"/>
  <c r="H94" i="2"/>
  <c r="G94" i="2"/>
  <c r="E94" i="2"/>
  <c r="D94" i="2"/>
  <c r="H93" i="2"/>
  <c r="G93" i="2"/>
  <c r="E93" i="2"/>
  <c r="D93" i="2"/>
  <c r="H92" i="2"/>
  <c r="G92" i="2"/>
  <c r="E92" i="2"/>
  <c r="D92" i="2"/>
  <c r="H91" i="2"/>
  <c r="G91" i="2"/>
  <c r="E91" i="2"/>
  <c r="D91" i="2"/>
  <c r="H90" i="2"/>
  <c r="G90" i="2"/>
  <c r="E90" i="2"/>
  <c r="D90" i="2"/>
  <c r="H89" i="2"/>
  <c r="G89" i="2"/>
  <c r="E89" i="2"/>
  <c r="D89" i="2"/>
  <c r="H88" i="2"/>
  <c r="G88" i="2"/>
  <c r="E88" i="2"/>
  <c r="D88" i="2"/>
  <c r="H87" i="2"/>
  <c r="G87" i="2"/>
  <c r="E87" i="2"/>
  <c r="D87" i="2"/>
  <c r="H86" i="2"/>
  <c r="G86" i="2"/>
  <c r="E86" i="2"/>
  <c r="D86" i="2"/>
  <c r="H85" i="2"/>
  <c r="G85" i="2"/>
  <c r="E85" i="2"/>
  <c r="D85" i="2"/>
  <c r="H84" i="2"/>
  <c r="G84" i="2"/>
  <c r="E84" i="2"/>
  <c r="D84" i="2"/>
  <c r="H83" i="2"/>
  <c r="G83" i="2"/>
  <c r="E83" i="2"/>
  <c r="D83" i="2"/>
  <c r="H82" i="2"/>
  <c r="G82" i="2"/>
  <c r="E82" i="2"/>
  <c r="D82" i="2"/>
  <c r="H81" i="2"/>
  <c r="G81" i="2"/>
  <c r="E81" i="2"/>
  <c r="D81" i="2"/>
  <c r="H80" i="2"/>
  <c r="G80" i="2"/>
  <c r="E80" i="2"/>
  <c r="D80" i="2"/>
  <c r="H79" i="2"/>
  <c r="G79" i="2"/>
  <c r="E79" i="2"/>
  <c r="D79" i="2"/>
  <c r="H78" i="2"/>
  <c r="G78" i="2"/>
  <c r="E78" i="2"/>
  <c r="D78" i="2"/>
  <c r="H77" i="2"/>
  <c r="G77" i="2"/>
  <c r="E77" i="2"/>
  <c r="D77" i="2"/>
  <c r="H76" i="2"/>
  <c r="G76" i="2"/>
  <c r="E76" i="2"/>
  <c r="D76" i="2"/>
  <c r="H75" i="2"/>
  <c r="G75" i="2"/>
  <c r="E75" i="2"/>
  <c r="D75" i="2"/>
  <c r="H74" i="2"/>
  <c r="G74" i="2"/>
  <c r="E74" i="2"/>
  <c r="D74" i="2"/>
  <c r="H73" i="2"/>
  <c r="G73" i="2"/>
  <c r="E73" i="2"/>
  <c r="D73" i="2"/>
  <c r="H72" i="2"/>
  <c r="G72" i="2"/>
  <c r="E72" i="2"/>
  <c r="D72" i="2"/>
  <c r="H71" i="2"/>
  <c r="G71" i="2"/>
  <c r="E71" i="2"/>
  <c r="D71" i="2"/>
  <c r="H70" i="2"/>
  <c r="G70" i="2"/>
  <c r="E70" i="2"/>
  <c r="D70" i="2"/>
  <c r="H69" i="2"/>
  <c r="G69" i="2"/>
  <c r="E69" i="2"/>
  <c r="D69" i="2"/>
  <c r="H68" i="2"/>
  <c r="G68" i="2"/>
  <c r="E68" i="2"/>
  <c r="D68" i="2"/>
  <c r="H67" i="2"/>
  <c r="G67" i="2"/>
  <c r="E67" i="2"/>
  <c r="D67" i="2"/>
  <c r="H66" i="2"/>
  <c r="G66" i="2"/>
  <c r="E66" i="2"/>
  <c r="D66" i="2"/>
  <c r="H65" i="2"/>
  <c r="G65" i="2"/>
  <c r="E65" i="2"/>
  <c r="D65" i="2"/>
  <c r="H64" i="2"/>
  <c r="G64" i="2"/>
  <c r="E64" i="2"/>
  <c r="D64" i="2"/>
  <c r="H63" i="2"/>
  <c r="G63" i="2"/>
  <c r="E63" i="2"/>
  <c r="D63" i="2"/>
  <c r="H62" i="2"/>
  <c r="G62" i="2"/>
  <c r="E62" i="2"/>
  <c r="D62" i="2"/>
  <c r="H61" i="2"/>
  <c r="G61" i="2"/>
  <c r="E61" i="2"/>
  <c r="D61" i="2"/>
  <c r="H60" i="2"/>
  <c r="G60" i="2"/>
  <c r="E60" i="2"/>
  <c r="D60" i="2"/>
  <c r="H59" i="2"/>
  <c r="G59" i="2"/>
  <c r="E59" i="2"/>
  <c r="D59" i="2"/>
  <c r="H58" i="2"/>
  <c r="G58" i="2"/>
  <c r="E58" i="2"/>
  <c r="D58" i="2"/>
  <c r="H57" i="2"/>
  <c r="G57" i="2"/>
  <c r="E57" i="2"/>
  <c r="D57" i="2"/>
  <c r="H56" i="2"/>
  <c r="G56" i="2"/>
  <c r="E56" i="2"/>
  <c r="D56" i="2"/>
  <c r="H55" i="2"/>
  <c r="G55" i="2"/>
  <c r="E55" i="2"/>
  <c r="D55" i="2"/>
  <c r="H54" i="2"/>
  <c r="G54" i="2"/>
  <c r="E54" i="2"/>
  <c r="D54" i="2"/>
  <c r="H53" i="2"/>
  <c r="G53" i="2"/>
  <c r="E53" i="2"/>
  <c r="D53" i="2"/>
  <c r="H52" i="2"/>
  <c r="G52" i="2"/>
  <c r="E52" i="2"/>
  <c r="D52" i="2"/>
  <c r="H51" i="2"/>
  <c r="G51" i="2"/>
  <c r="E51" i="2"/>
  <c r="D51" i="2"/>
  <c r="H50" i="2"/>
  <c r="G50" i="2"/>
  <c r="E50" i="2"/>
  <c r="D50" i="2"/>
  <c r="H49" i="2"/>
  <c r="G49" i="2"/>
  <c r="E49" i="2"/>
  <c r="D49" i="2"/>
  <c r="H48" i="2"/>
  <c r="G48" i="2"/>
  <c r="E48" i="2"/>
  <c r="D48" i="2"/>
  <c r="H47" i="2"/>
  <c r="G47" i="2"/>
  <c r="E47" i="2"/>
  <c r="D47" i="2"/>
  <c r="H46" i="2"/>
  <c r="G46" i="2"/>
  <c r="E46" i="2"/>
  <c r="D46" i="2"/>
  <c r="H45" i="2"/>
  <c r="G45" i="2"/>
  <c r="E45" i="2"/>
  <c r="D45" i="2"/>
  <c r="H44" i="2"/>
  <c r="G44" i="2"/>
  <c r="E44" i="2"/>
  <c r="D44" i="2"/>
  <c r="H43" i="2"/>
  <c r="G43" i="2"/>
  <c r="E43" i="2"/>
  <c r="D43" i="2"/>
  <c r="H42" i="2"/>
  <c r="G42" i="2"/>
  <c r="E42" i="2"/>
  <c r="D42" i="2"/>
  <c r="H41" i="2"/>
  <c r="G41" i="2"/>
  <c r="E41" i="2"/>
  <c r="D41" i="2"/>
  <c r="H40" i="2"/>
  <c r="G40" i="2"/>
  <c r="E40" i="2"/>
  <c r="D40" i="2"/>
  <c r="H39" i="2"/>
  <c r="G39" i="2"/>
  <c r="E39" i="2"/>
  <c r="D39" i="2"/>
  <c r="H38" i="2"/>
  <c r="G38" i="2"/>
  <c r="E38" i="2"/>
  <c r="D38" i="2"/>
  <c r="H37" i="2"/>
  <c r="G37" i="2"/>
  <c r="E37" i="2"/>
  <c r="D37" i="2"/>
  <c r="H36" i="2"/>
  <c r="G36" i="2"/>
  <c r="E36" i="2"/>
  <c r="D36" i="2"/>
  <c r="H35" i="2"/>
  <c r="G35" i="2"/>
  <c r="E35" i="2"/>
  <c r="D35" i="2"/>
  <c r="H34" i="2"/>
  <c r="G34" i="2"/>
  <c r="E34" i="2"/>
  <c r="D34" i="2"/>
  <c r="H33" i="2"/>
  <c r="G33" i="2"/>
  <c r="E33" i="2"/>
  <c r="D33" i="2"/>
  <c r="H32" i="2"/>
  <c r="G32" i="2"/>
  <c r="E32" i="2"/>
  <c r="D32" i="2"/>
  <c r="H31" i="2"/>
  <c r="G31" i="2"/>
  <c r="E31" i="2"/>
  <c r="D31" i="2"/>
  <c r="H30" i="2"/>
  <c r="G30" i="2"/>
  <c r="E30" i="2"/>
  <c r="D30" i="2"/>
  <c r="H29" i="2"/>
  <c r="G29" i="2"/>
  <c r="E29" i="2"/>
  <c r="D29" i="2"/>
  <c r="H28" i="2"/>
  <c r="G28" i="2"/>
  <c r="E28" i="2"/>
  <c r="D28" i="2"/>
  <c r="H27" i="2"/>
  <c r="G27" i="2"/>
  <c r="E27" i="2"/>
  <c r="D27" i="2"/>
  <c r="H26" i="2"/>
  <c r="G26" i="2"/>
  <c r="E26" i="2"/>
  <c r="D26" i="2"/>
  <c r="H25" i="2"/>
  <c r="G25" i="2"/>
  <c r="E25" i="2"/>
  <c r="D25" i="2"/>
  <c r="H24" i="2"/>
  <c r="G24" i="2"/>
  <c r="E24" i="2"/>
  <c r="D24" i="2"/>
  <c r="H23" i="2"/>
  <c r="G23" i="2"/>
  <c r="E23" i="2"/>
  <c r="D23" i="2"/>
  <c r="H22" i="2"/>
  <c r="G22" i="2"/>
  <c r="E22" i="2"/>
  <c r="D22" i="2"/>
  <c r="H21" i="2"/>
  <c r="G21" i="2"/>
  <c r="E21" i="2"/>
  <c r="D21" i="2"/>
  <c r="H20" i="2"/>
  <c r="G20" i="2"/>
  <c r="E20" i="2"/>
  <c r="D20" i="2"/>
  <c r="H19" i="2"/>
  <c r="G19" i="2"/>
  <c r="E19" i="2"/>
  <c r="D19" i="2"/>
  <c r="H18" i="2"/>
  <c r="G18" i="2"/>
  <c r="E18" i="2"/>
  <c r="D18" i="2"/>
  <c r="H17" i="2"/>
  <c r="G17" i="2"/>
  <c r="E17" i="2"/>
  <c r="D17" i="2"/>
  <c r="H16" i="2"/>
  <c r="G16" i="2"/>
  <c r="E16" i="2"/>
  <c r="D16" i="2"/>
  <c r="H15" i="2"/>
  <c r="G15" i="2"/>
  <c r="E15" i="2"/>
  <c r="D15" i="2"/>
  <c r="H14" i="2"/>
  <c r="G14" i="2"/>
  <c r="E14" i="2"/>
  <c r="D14" i="2"/>
  <c r="H13" i="2"/>
  <c r="G13" i="2"/>
  <c r="E13" i="2"/>
  <c r="D13" i="2"/>
  <c r="H12" i="2"/>
  <c r="G12" i="2"/>
  <c r="E12" i="2"/>
  <c r="D12" i="2"/>
  <c r="H11" i="2"/>
  <c r="G11" i="2"/>
  <c r="E11" i="2"/>
  <c r="D11" i="2"/>
  <c r="H10" i="2"/>
  <c r="G10" i="2"/>
  <c r="E10" i="2"/>
  <c r="D10" i="2"/>
  <c r="H9" i="2"/>
  <c r="G9" i="2"/>
  <c r="E9" i="2"/>
  <c r="D9" i="2"/>
  <c r="H8" i="2"/>
  <c r="G8" i="2"/>
  <c r="E8" i="2"/>
  <c r="D8" i="2"/>
  <c r="H7" i="2"/>
  <c r="G7" i="2"/>
  <c r="E7" i="2"/>
  <c r="D7" i="2"/>
  <c r="B4" i="2"/>
  <c r="B3" i="2"/>
  <c r="B1" i="2"/>
  <c r="D8" i="1"/>
  <c r="E8" i="1"/>
  <c r="G8" i="1"/>
  <c r="D9" i="1"/>
  <c r="E9" i="1"/>
  <c r="G9" i="1"/>
  <c r="D10" i="1"/>
  <c r="E10" i="1"/>
  <c r="G10" i="1"/>
  <c r="D11" i="1"/>
  <c r="E11" i="1"/>
  <c r="G11" i="1"/>
  <c r="D12" i="1"/>
  <c r="E12" i="1"/>
  <c r="G12" i="1"/>
  <c r="D13" i="1"/>
  <c r="E13" i="1"/>
  <c r="G13" i="1"/>
  <c r="D14" i="1"/>
  <c r="E14" i="1"/>
  <c r="G14" i="1"/>
  <c r="D15" i="1"/>
  <c r="E15" i="1"/>
  <c r="G15" i="1"/>
  <c r="D16" i="1"/>
  <c r="E16" i="1"/>
  <c r="G16" i="1"/>
  <c r="D17" i="1"/>
  <c r="E17" i="1"/>
  <c r="G17" i="1"/>
  <c r="D18" i="1"/>
  <c r="E18" i="1"/>
  <c r="G18" i="1"/>
  <c r="D19" i="1"/>
  <c r="E19" i="1"/>
  <c r="G19" i="1"/>
  <c r="D20" i="1"/>
  <c r="E20" i="1"/>
  <c r="G20" i="1"/>
  <c r="D21" i="1"/>
  <c r="E21" i="1"/>
  <c r="G21" i="1"/>
  <c r="D22" i="1"/>
  <c r="E22" i="1"/>
  <c r="G22" i="1"/>
  <c r="D23" i="1"/>
  <c r="E23" i="1"/>
  <c r="G23" i="1"/>
  <c r="D24" i="1"/>
  <c r="E24" i="1"/>
  <c r="G24" i="1"/>
  <c r="D25" i="1"/>
  <c r="E25" i="1"/>
  <c r="G25" i="1"/>
  <c r="D26" i="1"/>
  <c r="E26" i="1"/>
  <c r="G26" i="1"/>
  <c r="D27" i="1"/>
  <c r="E27" i="1"/>
  <c r="G27" i="1"/>
  <c r="D28" i="1"/>
  <c r="E28" i="1"/>
  <c r="G28" i="1"/>
  <c r="D29" i="1"/>
  <c r="E29" i="1"/>
  <c r="G29" i="1"/>
  <c r="D30" i="1"/>
  <c r="E30" i="1"/>
  <c r="G30" i="1"/>
  <c r="D32" i="1"/>
  <c r="E32" i="1"/>
  <c r="G32" i="1"/>
  <c r="H32" i="1"/>
  <c r="D33" i="1"/>
  <c r="E33" i="1"/>
  <c r="G33" i="1"/>
  <c r="H33" i="1"/>
  <c r="D34" i="1"/>
  <c r="E34" i="1"/>
  <c r="G34" i="1"/>
  <c r="H34" i="1"/>
  <c r="D35" i="1"/>
  <c r="E35" i="1"/>
  <c r="G35" i="1"/>
  <c r="H35" i="1"/>
  <c r="D36" i="1"/>
  <c r="E36" i="1"/>
  <c r="G36" i="1"/>
  <c r="H36" i="1"/>
  <c r="D37" i="1"/>
  <c r="E37" i="1"/>
  <c r="G37" i="1"/>
  <c r="H37" i="1"/>
  <c r="D38" i="1"/>
  <c r="E38" i="1"/>
  <c r="G38" i="1"/>
  <c r="H38" i="1"/>
  <c r="D39" i="1"/>
  <c r="E39" i="1"/>
  <c r="G39" i="1"/>
  <c r="H39" i="1"/>
  <c r="D40" i="1"/>
  <c r="E40" i="1"/>
  <c r="G40" i="1"/>
  <c r="H40" i="1"/>
  <c r="D41" i="1"/>
  <c r="E41" i="1"/>
  <c r="G41" i="1"/>
  <c r="H41" i="1"/>
  <c r="D42" i="1"/>
  <c r="E42" i="1"/>
  <c r="G42" i="1"/>
  <c r="H42" i="1"/>
  <c r="D43" i="1"/>
  <c r="E43" i="1"/>
  <c r="G43" i="1"/>
  <c r="H43" i="1"/>
  <c r="D44" i="1"/>
  <c r="E44" i="1"/>
  <c r="G44" i="1"/>
  <c r="H44" i="1"/>
  <c r="D45" i="1"/>
  <c r="E45" i="1"/>
  <c r="G45" i="1"/>
  <c r="H45" i="1"/>
  <c r="D46" i="1"/>
  <c r="E46" i="1"/>
  <c r="G46" i="1"/>
  <c r="H46" i="1"/>
  <c r="D47" i="1"/>
  <c r="E47" i="1"/>
  <c r="G47" i="1"/>
  <c r="H47" i="1"/>
  <c r="D48" i="1"/>
  <c r="E48" i="1"/>
  <c r="G48" i="1"/>
  <c r="H48" i="1"/>
  <c r="D49" i="1"/>
  <c r="E49" i="1"/>
  <c r="G49" i="1"/>
  <c r="H49" i="1"/>
  <c r="D50" i="1"/>
  <c r="E50" i="1"/>
  <c r="G50" i="1"/>
  <c r="H50" i="1"/>
  <c r="D51" i="1"/>
  <c r="E51" i="1"/>
  <c r="G51" i="1"/>
  <c r="H51" i="1"/>
  <c r="D52" i="1"/>
  <c r="E52" i="1"/>
  <c r="G52" i="1"/>
  <c r="H52" i="1"/>
  <c r="D53" i="1"/>
  <c r="E53" i="1"/>
  <c r="G53" i="1"/>
  <c r="H53" i="1"/>
  <c r="D54" i="1"/>
  <c r="E54" i="1"/>
  <c r="G54" i="1"/>
  <c r="H54" i="1"/>
  <c r="D55" i="1"/>
  <c r="E55" i="1"/>
  <c r="G55" i="1"/>
  <c r="H55" i="1"/>
  <c r="D56" i="1"/>
  <c r="E56" i="1"/>
  <c r="G56" i="1"/>
  <c r="H56" i="1"/>
  <c r="D57" i="1"/>
  <c r="E57" i="1"/>
  <c r="G57" i="1"/>
  <c r="H57" i="1"/>
  <c r="D58" i="1"/>
  <c r="E58" i="1"/>
  <c r="G58" i="1"/>
  <c r="H58" i="1"/>
  <c r="D59" i="1"/>
  <c r="E59" i="1"/>
  <c r="G59" i="1"/>
  <c r="H59" i="1"/>
  <c r="D60" i="1"/>
  <c r="E60" i="1"/>
  <c r="G60" i="1"/>
  <c r="H60" i="1"/>
  <c r="D61" i="1"/>
  <c r="E61" i="1"/>
  <c r="G61" i="1"/>
  <c r="H61" i="1"/>
  <c r="D62" i="1"/>
  <c r="E62" i="1"/>
  <c r="G62" i="1"/>
  <c r="H62" i="1"/>
  <c r="D63" i="1"/>
  <c r="E63" i="1"/>
  <c r="G63" i="1"/>
  <c r="H63" i="1"/>
  <c r="D64" i="1"/>
  <c r="E64" i="1"/>
  <c r="G64" i="1"/>
  <c r="H64" i="1"/>
  <c r="D65" i="1"/>
  <c r="E65" i="1"/>
  <c r="G65" i="1"/>
  <c r="H65" i="1"/>
  <c r="D66" i="1"/>
  <c r="E66" i="1"/>
  <c r="G66" i="1"/>
  <c r="H66" i="1"/>
  <c r="D67" i="1"/>
  <c r="E67" i="1"/>
  <c r="G67" i="1"/>
  <c r="H67" i="1"/>
  <c r="D68" i="1"/>
  <c r="E68" i="1"/>
  <c r="G68" i="1"/>
  <c r="H68" i="1"/>
  <c r="D69" i="1"/>
  <c r="E69" i="1"/>
  <c r="G69" i="1"/>
  <c r="H69" i="1"/>
  <c r="D70" i="1"/>
  <c r="E70" i="1"/>
  <c r="G70" i="1"/>
  <c r="H70" i="1"/>
  <c r="D71" i="1"/>
  <c r="E71" i="1"/>
  <c r="G71" i="1"/>
  <c r="H71" i="1"/>
  <c r="D72" i="1"/>
  <c r="E72" i="1"/>
  <c r="G72" i="1"/>
  <c r="H72" i="1"/>
  <c r="D73" i="1"/>
  <c r="E73" i="1"/>
  <c r="G73" i="1"/>
  <c r="H73" i="1"/>
  <c r="D74" i="1"/>
  <c r="E74" i="1"/>
  <c r="G74" i="1"/>
  <c r="H74" i="1"/>
  <c r="D75" i="1"/>
  <c r="E75" i="1"/>
  <c r="G75" i="1"/>
  <c r="H75" i="1"/>
  <c r="D76" i="1"/>
  <c r="E76" i="1"/>
  <c r="G76" i="1"/>
  <c r="H76" i="1"/>
  <c r="D77" i="1"/>
  <c r="E77" i="1"/>
  <c r="G77" i="1"/>
  <c r="H77" i="1"/>
  <c r="D78" i="1"/>
  <c r="E78" i="1"/>
  <c r="G78" i="1"/>
  <c r="H78" i="1"/>
  <c r="D79" i="1"/>
  <c r="E79" i="1"/>
  <c r="G79" i="1"/>
  <c r="H79" i="1"/>
  <c r="D80" i="1"/>
  <c r="E80" i="1"/>
  <c r="G80" i="1"/>
  <c r="H80" i="1"/>
  <c r="D81" i="1"/>
  <c r="E81" i="1"/>
  <c r="G81" i="1"/>
  <c r="H81" i="1"/>
  <c r="D82" i="1"/>
  <c r="E82" i="1"/>
  <c r="G82" i="1"/>
  <c r="H82" i="1"/>
  <c r="D83" i="1"/>
  <c r="E83" i="1"/>
  <c r="G83" i="1"/>
  <c r="H83" i="1"/>
  <c r="D84" i="1"/>
  <c r="E84" i="1"/>
  <c r="G84" i="1"/>
  <c r="H84" i="1"/>
  <c r="D85" i="1"/>
  <c r="E85" i="1"/>
  <c r="G85" i="1"/>
  <c r="H85" i="1"/>
  <c r="D86" i="1"/>
  <c r="E86" i="1"/>
  <c r="G86" i="1"/>
  <c r="H86" i="1"/>
  <c r="D87" i="1"/>
  <c r="E87" i="1"/>
  <c r="G87" i="1"/>
  <c r="H87" i="1"/>
  <c r="D88" i="1"/>
  <c r="E88" i="1"/>
  <c r="G88" i="1"/>
  <c r="H88" i="1"/>
  <c r="D89" i="1"/>
  <c r="E89" i="1"/>
  <c r="G89" i="1"/>
  <c r="H89" i="1"/>
  <c r="D90" i="1"/>
  <c r="E90" i="1"/>
  <c r="G90" i="1"/>
  <c r="H90" i="1"/>
  <c r="D91" i="1"/>
  <c r="E91" i="1"/>
  <c r="G91" i="1"/>
  <c r="H91" i="1"/>
  <c r="D92" i="1"/>
  <c r="E92" i="1"/>
  <c r="G92" i="1"/>
  <c r="H92" i="1"/>
  <c r="D93" i="1"/>
  <c r="E93" i="1"/>
  <c r="G93" i="1"/>
  <c r="H93" i="1"/>
  <c r="D94" i="1"/>
  <c r="E94" i="1"/>
  <c r="G94" i="1"/>
  <c r="H94" i="1"/>
  <c r="D95" i="1"/>
  <c r="E95" i="1"/>
  <c r="G95" i="1"/>
  <c r="H95" i="1"/>
  <c r="D96" i="1"/>
  <c r="E96" i="1"/>
  <c r="G96" i="1"/>
  <c r="H96" i="1"/>
  <c r="D97" i="1"/>
  <c r="E97" i="1"/>
  <c r="G97" i="1"/>
  <c r="H97" i="1"/>
  <c r="D98" i="1"/>
  <c r="E98" i="1"/>
  <c r="G98" i="1"/>
  <c r="H98" i="1"/>
  <c r="D99" i="1"/>
  <c r="E99" i="1"/>
  <c r="G99" i="1"/>
  <c r="H99" i="1"/>
  <c r="D100" i="1"/>
  <c r="E100" i="1"/>
  <c r="G100" i="1"/>
  <c r="H100" i="1"/>
  <c r="D101" i="1"/>
  <c r="E101" i="1"/>
  <c r="G101" i="1"/>
  <c r="H101" i="1"/>
  <c r="D102" i="1"/>
  <c r="E102" i="1"/>
  <c r="G102" i="1"/>
  <c r="H102" i="1"/>
  <c r="D103" i="1"/>
  <c r="E103" i="1"/>
  <c r="G103" i="1"/>
  <c r="H103" i="1"/>
  <c r="D104" i="1"/>
  <c r="E104" i="1"/>
  <c r="G104" i="1"/>
  <c r="H104" i="1"/>
  <c r="D105" i="1"/>
  <c r="E105" i="1"/>
  <c r="G105" i="1"/>
  <c r="H105" i="1"/>
  <c r="D106" i="1"/>
  <c r="E106" i="1"/>
  <c r="G106" i="1"/>
  <c r="H106" i="1"/>
  <c r="D107" i="1"/>
  <c r="E107" i="1"/>
  <c r="G107" i="1"/>
  <c r="H107" i="1"/>
  <c r="D108" i="1"/>
  <c r="E108" i="1"/>
  <c r="G108" i="1"/>
  <c r="H108" i="1"/>
  <c r="D109" i="1"/>
  <c r="E109" i="1"/>
  <c r="G109" i="1"/>
  <c r="H109" i="1"/>
  <c r="D110" i="1"/>
  <c r="E110" i="1"/>
  <c r="G110" i="1"/>
  <c r="H110" i="1"/>
  <c r="D111" i="1"/>
  <c r="E111" i="1"/>
  <c r="G111" i="1"/>
  <c r="H111" i="1"/>
  <c r="D112" i="1"/>
  <c r="E112" i="1"/>
  <c r="G112" i="1"/>
  <c r="H112" i="1"/>
  <c r="D113" i="1"/>
  <c r="E113" i="1"/>
  <c r="G113" i="1"/>
  <c r="H113" i="1"/>
  <c r="D114" i="1"/>
  <c r="E114" i="1"/>
  <c r="G114" i="1"/>
  <c r="H114" i="1"/>
  <c r="D115" i="1"/>
  <c r="E115" i="1"/>
  <c r="G115" i="1"/>
  <c r="H115" i="1"/>
  <c r="D116" i="1"/>
  <c r="E116" i="1"/>
  <c r="G116" i="1"/>
  <c r="H116" i="1"/>
  <c r="D117" i="1"/>
  <c r="E117" i="1"/>
  <c r="G117" i="1"/>
  <c r="H117" i="1"/>
  <c r="D118" i="1"/>
  <c r="E118" i="1"/>
  <c r="G118" i="1"/>
  <c r="H118" i="1"/>
  <c r="D119" i="1"/>
  <c r="E119" i="1"/>
  <c r="G119" i="1"/>
  <c r="H119" i="1"/>
  <c r="D120" i="1"/>
  <c r="E120" i="1"/>
  <c r="G120" i="1"/>
  <c r="H120" i="1"/>
  <c r="D121" i="1"/>
  <c r="E121" i="1"/>
  <c r="G121" i="1"/>
  <c r="H121" i="1"/>
  <c r="D122" i="1"/>
  <c r="E122" i="1"/>
  <c r="G122" i="1"/>
  <c r="H122" i="1"/>
  <c r="D123" i="1"/>
  <c r="E123" i="1"/>
  <c r="G123" i="1"/>
  <c r="H123" i="1"/>
  <c r="D124" i="1"/>
  <c r="E124" i="1"/>
  <c r="G124" i="1"/>
  <c r="H124" i="1"/>
  <c r="D125" i="1"/>
  <c r="E125" i="1"/>
  <c r="G125" i="1"/>
  <c r="H125" i="1"/>
  <c r="D126" i="1"/>
  <c r="E126" i="1"/>
  <c r="G126" i="1"/>
  <c r="H126" i="1"/>
  <c r="D127" i="1"/>
  <c r="E127" i="1"/>
  <c r="G127" i="1"/>
  <c r="H127" i="1"/>
  <c r="D128" i="1"/>
  <c r="E128" i="1"/>
  <c r="G128" i="1"/>
  <c r="H128" i="1"/>
  <c r="D129" i="1"/>
  <c r="E129" i="1"/>
  <c r="G129" i="1"/>
  <c r="H129" i="1"/>
  <c r="D130" i="1"/>
  <c r="E130" i="1"/>
  <c r="G130" i="1"/>
  <c r="H130" i="1"/>
  <c r="D131" i="1"/>
  <c r="E131" i="1"/>
  <c r="G131" i="1"/>
  <c r="H131" i="1"/>
  <c r="D132" i="1"/>
  <c r="E132" i="1"/>
  <c r="G132" i="1"/>
  <c r="H132" i="1"/>
  <c r="D133" i="1"/>
  <c r="E133" i="1"/>
  <c r="G133" i="1"/>
  <c r="H133" i="1"/>
  <c r="D134" i="1"/>
  <c r="E134" i="1"/>
  <c r="G134" i="1"/>
  <c r="H134" i="1"/>
  <c r="D135" i="1"/>
  <c r="E135" i="1"/>
  <c r="G135" i="1"/>
  <c r="H135" i="1"/>
  <c r="D136" i="1"/>
  <c r="E136" i="1"/>
  <c r="G136" i="1"/>
  <c r="H136" i="1"/>
  <c r="D137" i="1"/>
  <c r="E137" i="1"/>
  <c r="G137" i="1"/>
  <c r="H137" i="1"/>
  <c r="D138" i="1"/>
  <c r="E138" i="1"/>
  <c r="G138" i="1"/>
  <c r="H138" i="1"/>
  <c r="D139" i="1"/>
  <c r="E139" i="1"/>
  <c r="G139" i="1"/>
  <c r="H139" i="1"/>
  <c r="D140" i="1"/>
  <c r="E140" i="1"/>
  <c r="G140" i="1"/>
  <c r="H140" i="1"/>
  <c r="D141" i="1"/>
  <c r="E141" i="1"/>
  <c r="G141" i="1"/>
  <c r="H141" i="1"/>
  <c r="D142" i="1"/>
  <c r="E142" i="1"/>
  <c r="G142" i="1"/>
  <c r="H142" i="1"/>
  <c r="D143" i="1"/>
  <c r="E143" i="1"/>
  <c r="G143" i="1"/>
  <c r="H143" i="1"/>
  <c r="D144" i="1"/>
  <c r="E144" i="1"/>
  <c r="G144" i="1"/>
  <c r="H144" i="1"/>
  <c r="D145" i="1"/>
  <c r="E145" i="1"/>
  <c r="G145" i="1"/>
  <c r="H145" i="1"/>
  <c r="D146" i="1"/>
  <c r="E146" i="1"/>
  <c r="G146" i="1"/>
  <c r="H146" i="1"/>
  <c r="D147" i="1"/>
  <c r="E147" i="1"/>
  <c r="G147" i="1"/>
  <c r="H147" i="1"/>
  <c r="D148" i="1"/>
  <c r="E148" i="1"/>
  <c r="G148" i="1"/>
  <c r="H148" i="1"/>
  <c r="D149" i="1"/>
  <c r="E149" i="1"/>
  <c r="G149" i="1"/>
  <c r="H149" i="1"/>
  <c r="D150" i="1"/>
  <c r="E150" i="1"/>
  <c r="G150" i="1"/>
  <c r="H150" i="1"/>
  <c r="D151" i="1"/>
  <c r="E151" i="1"/>
  <c r="G151" i="1"/>
  <c r="H151" i="1"/>
  <c r="D152" i="1"/>
  <c r="E152" i="1"/>
  <c r="G152" i="1"/>
  <c r="H152" i="1"/>
  <c r="D153" i="1"/>
  <c r="E153" i="1"/>
  <c r="G153" i="1"/>
  <c r="H153" i="1"/>
  <c r="D154" i="1"/>
  <c r="E154" i="1"/>
  <c r="G154" i="1"/>
  <c r="H154" i="1"/>
  <c r="D155" i="1"/>
  <c r="E155" i="1"/>
  <c r="G155" i="1"/>
  <c r="H155" i="1"/>
  <c r="D156" i="1"/>
  <c r="E156" i="1"/>
  <c r="G156" i="1"/>
  <c r="H156" i="1"/>
  <c r="D157" i="1"/>
  <c r="E157" i="1"/>
  <c r="G157" i="1"/>
  <c r="H157" i="1"/>
  <c r="D158" i="1"/>
  <c r="E158" i="1"/>
  <c r="G158" i="1"/>
  <c r="H158" i="1"/>
  <c r="D159" i="1"/>
  <c r="E159" i="1"/>
  <c r="G159" i="1"/>
  <c r="H159" i="1"/>
  <c r="D160" i="1"/>
  <c r="E160" i="1"/>
  <c r="G160" i="1"/>
  <c r="H160" i="1"/>
  <c r="D161" i="1"/>
  <c r="E161" i="1"/>
  <c r="G161" i="1"/>
  <c r="H161" i="1"/>
  <c r="D162" i="1"/>
  <c r="E162" i="1"/>
  <c r="G162" i="1"/>
  <c r="H162" i="1"/>
  <c r="D163" i="1"/>
  <c r="E163" i="1"/>
  <c r="G163" i="1"/>
  <c r="H163" i="1"/>
  <c r="D164" i="1"/>
  <c r="E164" i="1"/>
  <c r="G164" i="1"/>
  <c r="H164" i="1"/>
  <c r="D165" i="1"/>
  <c r="E165" i="1"/>
  <c r="G165" i="1"/>
  <c r="H165" i="1"/>
  <c r="D166" i="1"/>
  <c r="E166" i="1"/>
  <c r="G166" i="1"/>
  <c r="H166" i="1"/>
  <c r="D167" i="1"/>
  <c r="E167" i="1"/>
  <c r="G167" i="1"/>
  <c r="H167" i="1"/>
  <c r="D168" i="1"/>
  <c r="E168" i="1"/>
  <c r="G168" i="1"/>
  <c r="H168" i="1"/>
  <c r="D169" i="1"/>
  <c r="E169" i="1"/>
  <c r="G169" i="1"/>
  <c r="H169" i="1"/>
  <c r="D170" i="1"/>
  <c r="E170" i="1"/>
  <c r="G170" i="1"/>
  <c r="H170" i="1"/>
  <c r="D171" i="1"/>
  <c r="E171" i="1"/>
  <c r="G171" i="1"/>
  <c r="H171" i="1"/>
  <c r="D172" i="1"/>
  <c r="E172" i="1"/>
  <c r="G172" i="1"/>
  <c r="H172" i="1"/>
  <c r="D173" i="1"/>
  <c r="E173" i="1"/>
  <c r="G173" i="1"/>
  <c r="H173" i="1"/>
  <c r="D174" i="1"/>
  <c r="E174" i="1"/>
  <c r="G174" i="1"/>
  <c r="H174" i="1"/>
  <c r="D175" i="1"/>
  <c r="E175" i="1"/>
  <c r="G175" i="1"/>
  <c r="H175" i="1"/>
  <c r="D176" i="1"/>
  <c r="E176" i="1"/>
  <c r="G176" i="1"/>
  <c r="H176" i="1"/>
  <c r="D177" i="1"/>
  <c r="E177" i="1"/>
  <c r="G177" i="1"/>
  <c r="H177" i="1"/>
  <c r="D178" i="1"/>
  <c r="E178" i="1"/>
  <c r="G178" i="1"/>
  <c r="H178" i="1"/>
  <c r="D179" i="1"/>
  <c r="E179" i="1"/>
  <c r="G179" i="1"/>
  <c r="H179" i="1"/>
  <c r="D180" i="1"/>
  <c r="E180" i="1"/>
  <c r="G180" i="1"/>
  <c r="H180" i="1"/>
  <c r="D181" i="1"/>
  <c r="E181" i="1"/>
  <c r="G181" i="1"/>
  <c r="H181" i="1"/>
  <c r="D182" i="1"/>
  <c r="E182" i="1"/>
  <c r="G182" i="1"/>
  <c r="H182" i="1"/>
  <c r="D183" i="1"/>
  <c r="E183" i="1"/>
  <c r="G183" i="1"/>
  <c r="H183" i="1"/>
  <c r="D184" i="1"/>
  <c r="E184" i="1"/>
  <c r="G184" i="1"/>
  <c r="H184" i="1"/>
  <c r="D185" i="1"/>
  <c r="E185" i="1"/>
  <c r="G185" i="1"/>
  <c r="H185" i="1"/>
  <c r="D186" i="1"/>
  <c r="E186" i="1"/>
  <c r="G186" i="1"/>
  <c r="H186" i="1"/>
  <c r="D187" i="1"/>
  <c r="E187" i="1"/>
  <c r="G187" i="1"/>
  <c r="H187" i="1"/>
  <c r="D188" i="1"/>
  <c r="E188" i="1"/>
  <c r="G188" i="1"/>
  <c r="H188" i="1"/>
  <c r="D189" i="1"/>
  <c r="E189" i="1"/>
  <c r="G189" i="1"/>
  <c r="H189" i="1"/>
  <c r="D190" i="1"/>
  <c r="E190" i="1"/>
  <c r="G190" i="1"/>
  <c r="H190" i="1"/>
  <c r="D191" i="1"/>
  <c r="E191" i="1"/>
  <c r="G191" i="1"/>
  <c r="H191" i="1"/>
  <c r="D192" i="1"/>
  <c r="E192" i="1"/>
  <c r="G192" i="1"/>
  <c r="H192" i="1"/>
  <c r="D193" i="1"/>
  <c r="E193" i="1"/>
  <c r="G193" i="1"/>
  <c r="H193" i="1"/>
  <c r="D194" i="1"/>
  <c r="E194" i="1"/>
  <c r="G194" i="1"/>
  <c r="H194" i="1"/>
  <c r="D195" i="1"/>
  <c r="E195" i="1"/>
  <c r="G195" i="1"/>
  <c r="H195" i="1"/>
  <c r="D196" i="1"/>
  <c r="E196" i="1"/>
  <c r="G196" i="1"/>
  <c r="H196" i="1"/>
  <c r="D197" i="1"/>
  <c r="E197" i="1"/>
  <c r="G197" i="1"/>
  <c r="H197" i="1"/>
  <c r="D198" i="1"/>
  <c r="E198" i="1"/>
  <c r="G198" i="1"/>
  <c r="H198" i="1"/>
  <c r="D199" i="1"/>
  <c r="E199" i="1"/>
  <c r="G199" i="1"/>
  <c r="H199" i="1"/>
  <c r="D200" i="1"/>
  <c r="E200" i="1"/>
  <c r="G200" i="1"/>
  <c r="H200" i="1"/>
  <c r="D201" i="1"/>
  <c r="E201" i="1"/>
  <c r="G201" i="1"/>
  <c r="H201" i="1"/>
  <c r="D202" i="1"/>
  <c r="E202" i="1"/>
  <c r="G202" i="1"/>
  <c r="H202" i="1"/>
  <c r="D203" i="1"/>
  <c r="E203" i="1"/>
  <c r="G203" i="1"/>
  <c r="H203" i="1"/>
  <c r="D204" i="1"/>
  <c r="E204" i="1"/>
  <c r="G204" i="1"/>
  <c r="H204" i="1"/>
  <c r="D205" i="1"/>
  <c r="E205" i="1"/>
  <c r="G205" i="1"/>
  <c r="H205" i="1"/>
  <c r="D206" i="1"/>
  <c r="E206" i="1"/>
  <c r="G206" i="1"/>
  <c r="H206" i="1"/>
  <c r="D207" i="1"/>
  <c r="E207" i="1"/>
  <c r="G207" i="1"/>
  <c r="H207" i="1"/>
  <c r="D208" i="1"/>
  <c r="E208" i="1"/>
  <c r="G208" i="1"/>
  <c r="H208" i="1"/>
  <c r="D209" i="1"/>
  <c r="E209" i="1"/>
  <c r="G209" i="1"/>
  <c r="H209" i="1"/>
  <c r="D210" i="1"/>
  <c r="E210" i="1"/>
  <c r="G210" i="1"/>
  <c r="H210" i="1"/>
  <c r="D211" i="1"/>
  <c r="E211" i="1"/>
  <c r="G211" i="1"/>
  <c r="H211" i="1"/>
  <c r="D212" i="1"/>
  <c r="E212" i="1"/>
  <c r="G212" i="1"/>
  <c r="H212" i="1"/>
  <c r="D213" i="1"/>
  <c r="E213" i="1"/>
  <c r="G213" i="1"/>
  <c r="H213" i="1"/>
  <c r="D214" i="1"/>
  <c r="E214" i="1"/>
  <c r="G214" i="1"/>
  <c r="H214" i="1"/>
  <c r="D215" i="1"/>
  <c r="E215" i="1"/>
  <c r="G215" i="1"/>
  <c r="H215" i="1"/>
  <c r="D216" i="1"/>
  <c r="E216" i="1"/>
  <c r="G216" i="1"/>
  <c r="H216" i="1"/>
  <c r="D217" i="1"/>
  <c r="E217" i="1"/>
  <c r="G217" i="1"/>
  <c r="H217" i="1"/>
  <c r="D218" i="1"/>
  <c r="E218" i="1"/>
  <c r="G218" i="1"/>
  <c r="H218" i="1"/>
  <c r="D219" i="1"/>
  <c r="E219" i="1"/>
  <c r="G219" i="1"/>
  <c r="H219" i="1"/>
  <c r="D220" i="1"/>
  <c r="E220" i="1"/>
  <c r="G220" i="1"/>
  <c r="H220" i="1"/>
  <c r="D221" i="1"/>
  <c r="E221" i="1"/>
  <c r="G221" i="1"/>
  <c r="H221" i="1"/>
  <c r="D222" i="1"/>
  <c r="E222" i="1"/>
  <c r="G222" i="1"/>
  <c r="H222" i="1"/>
  <c r="D223" i="1"/>
  <c r="E223" i="1"/>
  <c r="G223" i="1"/>
  <c r="H223" i="1"/>
  <c r="D224" i="1"/>
  <c r="E224" i="1"/>
  <c r="G224" i="1"/>
  <c r="H224" i="1"/>
  <c r="D225" i="1"/>
  <c r="E225" i="1"/>
  <c r="G225" i="1"/>
  <c r="H225" i="1"/>
  <c r="D226" i="1"/>
  <c r="E226" i="1"/>
  <c r="G226" i="1"/>
  <c r="H226" i="1"/>
  <c r="D227" i="1"/>
  <c r="E227" i="1"/>
  <c r="G227" i="1"/>
  <c r="H227" i="1"/>
  <c r="D228" i="1"/>
  <c r="E228" i="1"/>
  <c r="G228" i="1"/>
  <c r="H228" i="1"/>
  <c r="D229" i="1"/>
  <c r="E229" i="1"/>
  <c r="G229" i="1"/>
  <c r="H229" i="1"/>
  <c r="D230" i="1"/>
  <c r="E230" i="1"/>
  <c r="G230" i="1"/>
  <c r="H230" i="1"/>
  <c r="D231" i="1"/>
  <c r="E231" i="1"/>
  <c r="G231" i="1"/>
  <c r="H231" i="1"/>
  <c r="D232" i="1"/>
  <c r="E232" i="1"/>
  <c r="G232" i="1"/>
  <c r="H232" i="1"/>
  <c r="D233" i="1"/>
  <c r="E233" i="1"/>
  <c r="G233" i="1"/>
  <c r="H233" i="1"/>
  <c r="D234" i="1"/>
  <c r="E234" i="1"/>
  <c r="G234" i="1"/>
  <c r="H234" i="1"/>
  <c r="D235" i="1"/>
  <c r="E235" i="1"/>
  <c r="G235" i="1"/>
  <c r="H235" i="1"/>
  <c r="D236" i="1"/>
  <c r="E236" i="1"/>
  <c r="G236" i="1"/>
  <c r="H236" i="1"/>
  <c r="D237" i="1"/>
  <c r="E237" i="1"/>
  <c r="G237" i="1"/>
  <c r="H237" i="1"/>
  <c r="D238" i="1"/>
  <c r="E238" i="1"/>
  <c r="G238" i="1"/>
  <c r="H238" i="1"/>
  <c r="D239" i="1"/>
  <c r="E239" i="1"/>
  <c r="G239" i="1"/>
  <c r="H239" i="1"/>
  <c r="D240" i="1"/>
  <c r="E240" i="1"/>
  <c r="G240" i="1"/>
  <c r="H240" i="1"/>
  <c r="D241" i="1"/>
  <c r="E241" i="1"/>
  <c r="G241" i="1"/>
  <c r="H241" i="1"/>
  <c r="D242" i="1"/>
  <c r="E242" i="1"/>
  <c r="G242" i="1"/>
  <c r="H242" i="1"/>
  <c r="D243" i="1"/>
  <c r="E243" i="1"/>
  <c r="G243" i="1"/>
  <c r="H243" i="1"/>
  <c r="D244" i="1"/>
  <c r="E244" i="1"/>
  <c r="G244" i="1"/>
  <c r="H244" i="1"/>
  <c r="D245" i="1"/>
  <c r="E245" i="1"/>
  <c r="G245" i="1"/>
  <c r="H245" i="1"/>
  <c r="D246" i="1"/>
  <c r="E246" i="1"/>
  <c r="G246" i="1"/>
  <c r="H246" i="1"/>
  <c r="D247" i="1"/>
  <c r="E247" i="1"/>
  <c r="G247" i="1"/>
  <c r="H247" i="1"/>
  <c r="D248" i="1"/>
  <c r="E248" i="1"/>
  <c r="G248" i="1"/>
  <c r="H248" i="1"/>
  <c r="D249" i="1"/>
  <c r="E249" i="1"/>
  <c r="G249" i="1"/>
  <c r="H249" i="1"/>
  <c r="D250" i="1"/>
  <c r="E250" i="1"/>
  <c r="G250" i="1"/>
  <c r="H250" i="1"/>
  <c r="D251" i="1"/>
  <c r="E251" i="1"/>
  <c r="G251" i="1"/>
  <c r="H251" i="1"/>
  <c r="D252" i="1"/>
  <c r="E252" i="1"/>
  <c r="G252" i="1"/>
  <c r="H252" i="1"/>
  <c r="D253" i="1"/>
  <c r="E253" i="1"/>
  <c r="G253" i="1"/>
  <c r="H253" i="1"/>
  <c r="D254" i="1"/>
  <c r="E254" i="1"/>
  <c r="G254" i="1"/>
  <c r="H254" i="1"/>
  <c r="D255" i="1"/>
  <c r="E255" i="1"/>
  <c r="G255" i="1"/>
  <c r="H255" i="1"/>
  <c r="D256" i="1"/>
  <c r="E256" i="1"/>
  <c r="G256" i="1"/>
  <c r="H256" i="1"/>
  <c r="D257" i="1"/>
  <c r="E257" i="1"/>
  <c r="G257" i="1"/>
  <c r="H257" i="1"/>
  <c r="D258" i="1"/>
  <c r="E258" i="1"/>
  <c r="G258" i="1"/>
  <c r="H258" i="1"/>
  <c r="D259" i="1"/>
  <c r="E259" i="1"/>
  <c r="G259" i="1"/>
  <c r="H259" i="1"/>
  <c r="D260" i="1"/>
  <c r="E260" i="1"/>
  <c r="G260" i="1"/>
  <c r="H260" i="1"/>
  <c r="D261" i="1"/>
  <c r="E261" i="1"/>
  <c r="G261" i="1"/>
  <c r="H261" i="1"/>
  <c r="D262" i="1"/>
  <c r="E262" i="1"/>
  <c r="G262" i="1"/>
  <c r="H262" i="1"/>
  <c r="D263" i="1"/>
  <c r="E263" i="1"/>
  <c r="G263" i="1"/>
  <c r="H263" i="1"/>
  <c r="D264" i="1"/>
  <c r="E264" i="1"/>
  <c r="G264" i="1"/>
  <c r="H264" i="1"/>
  <c r="D265" i="1"/>
  <c r="E265" i="1"/>
  <c r="G265" i="1"/>
  <c r="H265" i="1"/>
  <c r="D266" i="1"/>
  <c r="E266" i="1"/>
  <c r="G266" i="1"/>
  <c r="H266" i="1"/>
  <c r="D267" i="1"/>
  <c r="E267" i="1"/>
  <c r="G267" i="1"/>
  <c r="H267" i="1"/>
  <c r="D268" i="1"/>
  <c r="E268" i="1"/>
  <c r="G268" i="1"/>
  <c r="H268" i="1"/>
  <c r="D269" i="1"/>
  <c r="E269" i="1"/>
  <c r="G269" i="1"/>
  <c r="H269" i="1"/>
  <c r="D270" i="1"/>
  <c r="E270" i="1"/>
  <c r="G270" i="1"/>
  <c r="H270" i="1"/>
  <c r="D271" i="1"/>
  <c r="E271" i="1"/>
  <c r="G271" i="1"/>
  <c r="H271" i="1"/>
  <c r="D272" i="1"/>
  <c r="E272" i="1"/>
  <c r="G272" i="1"/>
  <c r="H272" i="1"/>
  <c r="D273" i="1"/>
  <c r="E273" i="1"/>
  <c r="G273" i="1"/>
  <c r="H273" i="1"/>
  <c r="D274" i="1"/>
  <c r="E274" i="1"/>
  <c r="G274" i="1"/>
  <c r="H274" i="1"/>
  <c r="D275" i="1"/>
  <c r="E275" i="1"/>
  <c r="G275" i="1"/>
  <c r="H275" i="1"/>
  <c r="D276" i="1"/>
  <c r="E276" i="1"/>
  <c r="G276" i="1"/>
  <c r="H276" i="1"/>
  <c r="D277" i="1"/>
  <c r="E277" i="1"/>
  <c r="G277" i="1"/>
  <c r="H277" i="1"/>
  <c r="D278" i="1"/>
  <c r="E278" i="1"/>
  <c r="G278" i="1"/>
  <c r="H278" i="1"/>
  <c r="D279" i="1"/>
  <c r="E279" i="1"/>
  <c r="G279" i="1"/>
  <c r="H279" i="1"/>
  <c r="D280" i="1"/>
  <c r="E280" i="1"/>
  <c r="G280" i="1"/>
  <c r="H280" i="1"/>
  <c r="D281" i="1"/>
  <c r="E281" i="1"/>
  <c r="G281" i="1"/>
  <c r="H281" i="1"/>
  <c r="D282" i="1"/>
  <c r="E282" i="1"/>
  <c r="G282" i="1"/>
  <c r="H282" i="1"/>
  <c r="D283" i="1"/>
  <c r="E283" i="1"/>
  <c r="G283" i="1"/>
  <c r="H283" i="1"/>
  <c r="D284" i="1"/>
  <c r="E284" i="1"/>
  <c r="G284" i="1"/>
  <c r="H284" i="1"/>
  <c r="D285" i="1"/>
  <c r="E285" i="1"/>
  <c r="G285" i="1"/>
  <c r="H285" i="1"/>
  <c r="D286" i="1"/>
  <c r="E286" i="1"/>
  <c r="G286" i="1"/>
  <c r="H286" i="1"/>
  <c r="D287" i="1"/>
  <c r="E287" i="1"/>
  <c r="G287" i="1"/>
  <c r="H287" i="1"/>
  <c r="D288" i="1"/>
  <c r="E288" i="1"/>
  <c r="G288" i="1"/>
  <c r="H288" i="1"/>
  <c r="D289" i="1"/>
  <c r="E289" i="1"/>
  <c r="G289" i="1"/>
  <c r="H289" i="1"/>
  <c r="D290" i="1"/>
  <c r="E290" i="1"/>
  <c r="G290" i="1"/>
  <c r="H290" i="1"/>
  <c r="D291" i="1"/>
  <c r="E291" i="1"/>
  <c r="G291" i="1"/>
  <c r="H291" i="1"/>
  <c r="D292" i="1"/>
  <c r="E292" i="1"/>
  <c r="G292" i="1"/>
  <c r="H292" i="1"/>
  <c r="D293" i="1"/>
  <c r="E293" i="1"/>
  <c r="G293" i="1"/>
  <c r="H293" i="1"/>
  <c r="D294" i="1"/>
  <c r="E294" i="1"/>
  <c r="G294" i="1"/>
  <c r="H294" i="1"/>
  <c r="D295" i="1"/>
  <c r="E295" i="1"/>
  <c r="G295" i="1"/>
  <c r="H295" i="1"/>
  <c r="D296" i="1"/>
  <c r="E296" i="1"/>
  <c r="G296" i="1"/>
  <c r="H296" i="1"/>
  <c r="D297" i="1"/>
  <c r="E297" i="1"/>
  <c r="G297" i="1"/>
  <c r="H297" i="1"/>
  <c r="D298" i="1"/>
  <c r="E298" i="1"/>
  <c r="G298" i="1"/>
  <c r="H298" i="1"/>
  <c r="D299" i="1"/>
  <c r="E299" i="1"/>
  <c r="G299" i="1"/>
  <c r="H299" i="1"/>
  <c r="D300" i="1"/>
  <c r="E300" i="1"/>
  <c r="G300" i="1"/>
  <c r="H300" i="1"/>
  <c r="D301" i="1"/>
  <c r="E301" i="1"/>
  <c r="G301" i="1"/>
  <c r="H301" i="1"/>
  <c r="D302" i="1"/>
  <c r="E302" i="1"/>
  <c r="G302" i="1"/>
  <c r="H302" i="1"/>
  <c r="D303" i="1"/>
  <c r="E303" i="1"/>
  <c r="G303" i="1"/>
  <c r="H303" i="1"/>
  <c r="D304" i="1"/>
  <c r="E304" i="1"/>
  <c r="G304" i="1"/>
  <c r="H304" i="1"/>
  <c r="D305" i="1"/>
  <c r="E305" i="1"/>
  <c r="G305" i="1"/>
  <c r="H305" i="1"/>
  <c r="D306" i="1"/>
  <c r="E306" i="1"/>
  <c r="G306" i="1"/>
  <c r="H306" i="1"/>
  <c r="D307" i="1"/>
  <c r="E307" i="1"/>
  <c r="G307" i="1"/>
  <c r="H307" i="1"/>
  <c r="D308" i="1"/>
  <c r="E308" i="1"/>
  <c r="G308" i="1"/>
  <c r="H308" i="1"/>
  <c r="D309" i="1"/>
  <c r="E309" i="1"/>
  <c r="G309" i="1"/>
  <c r="H309" i="1"/>
  <c r="D310" i="1"/>
  <c r="E310" i="1"/>
  <c r="G310" i="1"/>
  <c r="H310" i="1"/>
  <c r="D311" i="1"/>
  <c r="E311" i="1"/>
  <c r="G311" i="1"/>
  <c r="H311" i="1"/>
  <c r="D312" i="1"/>
  <c r="E312" i="1"/>
  <c r="G312" i="1"/>
  <c r="H312" i="1"/>
  <c r="D313" i="1"/>
  <c r="E313" i="1"/>
  <c r="G313" i="1"/>
  <c r="H313" i="1"/>
  <c r="D314" i="1"/>
  <c r="E314" i="1"/>
  <c r="G314" i="1"/>
  <c r="H314" i="1"/>
  <c r="D315" i="1"/>
  <c r="E315" i="1"/>
  <c r="G315" i="1"/>
  <c r="H315" i="1"/>
  <c r="D316" i="1"/>
  <c r="E316" i="1"/>
  <c r="G316" i="1"/>
  <c r="H316" i="1"/>
  <c r="D317" i="1"/>
  <c r="E317" i="1"/>
  <c r="G317" i="1"/>
  <c r="H317" i="1"/>
  <c r="D318" i="1"/>
  <c r="E318" i="1"/>
  <c r="G318" i="1"/>
  <c r="H318" i="1"/>
  <c r="D319" i="1"/>
  <c r="E319" i="1"/>
  <c r="G319" i="1"/>
  <c r="H319" i="1"/>
  <c r="D320" i="1"/>
  <c r="E320" i="1"/>
  <c r="G320" i="1"/>
  <c r="H320" i="1"/>
  <c r="D321" i="1"/>
  <c r="E321" i="1"/>
  <c r="G321" i="1"/>
  <c r="H321" i="1"/>
  <c r="D322" i="1"/>
  <c r="E322" i="1"/>
  <c r="G322" i="1"/>
  <c r="H322" i="1"/>
  <c r="D323" i="1"/>
  <c r="E323" i="1"/>
  <c r="G323" i="1"/>
  <c r="H323" i="1"/>
  <c r="D324" i="1"/>
  <c r="E324" i="1"/>
  <c r="G324" i="1"/>
  <c r="H324" i="1"/>
  <c r="D325" i="1"/>
  <c r="E325" i="1"/>
  <c r="G325" i="1"/>
  <c r="H325" i="1"/>
  <c r="D326" i="1"/>
  <c r="E326" i="1"/>
  <c r="G326" i="1"/>
  <c r="H326" i="1"/>
  <c r="D327" i="1"/>
  <c r="E327" i="1"/>
  <c r="G327" i="1"/>
  <c r="H327" i="1"/>
  <c r="D328" i="1"/>
  <c r="E328" i="1"/>
  <c r="G328" i="1"/>
  <c r="H328" i="1"/>
  <c r="D329" i="1"/>
  <c r="E329" i="1"/>
  <c r="G329" i="1"/>
  <c r="H329" i="1"/>
  <c r="D330" i="1"/>
  <c r="E330" i="1"/>
  <c r="G330" i="1"/>
  <c r="H330" i="1"/>
  <c r="D331" i="1"/>
  <c r="E331" i="1"/>
  <c r="G331" i="1"/>
  <c r="H331" i="1"/>
  <c r="D332" i="1"/>
  <c r="E332" i="1"/>
  <c r="G332" i="1"/>
  <c r="H332" i="1"/>
  <c r="D333" i="1"/>
  <c r="E333" i="1"/>
  <c r="G333" i="1"/>
  <c r="H333" i="1"/>
  <c r="D334" i="1"/>
  <c r="E334" i="1"/>
  <c r="G334" i="1"/>
  <c r="H334" i="1"/>
  <c r="D335" i="1"/>
  <c r="E335" i="1"/>
  <c r="G335" i="1"/>
  <c r="H335" i="1"/>
  <c r="D336" i="1"/>
  <c r="E336" i="1"/>
  <c r="G336" i="1"/>
  <c r="H336" i="1"/>
  <c r="D337" i="1"/>
  <c r="E337" i="1"/>
  <c r="G337" i="1"/>
  <c r="H337" i="1"/>
  <c r="D338" i="1"/>
  <c r="E338" i="1"/>
  <c r="G338" i="1"/>
  <c r="H338" i="1"/>
  <c r="D339" i="1"/>
  <c r="E339" i="1"/>
  <c r="G339" i="1"/>
  <c r="H339" i="1"/>
  <c r="D340" i="1"/>
  <c r="E340" i="1"/>
  <c r="G340" i="1"/>
  <c r="H340" i="1"/>
  <c r="D341" i="1"/>
  <c r="E341" i="1"/>
  <c r="G341" i="1"/>
  <c r="H341" i="1"/>
  <c r="D342" i="1"/>
  <c r="E342" i="1"/>
  <c r="G342" i="1"/>
  <c r="H342" i="1"/>
  <c r="D343" i="1"/>
  <c r="E343" i="1"/>
  <c r="G343" i="1"/>
  <c r="H343" i="1"/>
  <c r="D344" i="1"/>
  <c r="E344" i="1"/>
  <c r="G344" i="1"/>
  <c r="H344" i="1"/>
  <c r="D345" i="1"/>
  <c r="E345" i="1"/>
  <c r="G345" i="1"/>
  <c r="H345" i="1"/>
  <c r="D346" i="1"/>
  <c r="E346" i="1"/>
  <c r="G346" i="1"/>
  <c r="H346" i="1"/>
  <c r="D347" i="1"/>
  <c r="E347" i="1"/>
  <c r="G347" i="1"/>
  <c r="H347" i="1"/>
  <c r="D348" i="1"/>
  <c r="E348" i="1"/>
  <c r="G348" i="1"/>
  <c r="H348" i="1"/>
  <c r="D349" i="1"/>
  <c r="E349" i="1"/>
  <c r="G349" i="1"/>
  <c r="H349" i="1"/>
  <c r="D350" i="1"/>
  <c r="E350" i="1"/>
  <c r="G350" i="1"/>
  <c r="H350" i="1"/>
  <c r="D351" i="1"/>
  <c r="E351" i="1"/>
  <c r="G351" i="1"/>
  <c r="H351" i="1"/>
  <c r="D352" i="1"/>
  <c r="E352" i="1"/>
  <c r="G352" i="1"/>
  <c r="H352" i="1"/>
  <c r="D353" i="1"/>
  <c r="E353" i="1"/>
  <c r="G353" i="1"/>
  <c r="H353" i="1"/>
  <c r="D354" i="1"/>
  <c r="E354" i="1"/>
  <c r="G354" i="1"/>
  <c r="H354" i="1"/>
  <c r="D355" i="1"/>
  <c r="E355" i="1"/>
  <c r="G355" i="1"/>
  <c r="H355" i="1"/>
  <c r="D356" i="1"/>
  <c r="E356" i="1"/>
  <c r="G356" i="1"/>
  <c r="H356" i="1"/>
  <c r="D357" i="1"/>
  <c r="E357" i="1"/>
  <c r="G357" i="1"/>
  <c r="H357" i="1"/>
  <c r="D358" i="1"/>
  <c r="E358" i="1"/>
  <c r="G358" i="1"/>
  <c r="H358" i="1"/>
  <c r="D359" i="1"/>
  <c r="E359" i="1"/>
  <c r="G359" i="1"/>
  <c r="H359" i="1"/>
  <c r="D360" i="1"/>
  <c r="E360" i="1"/>
  <c r="G360" i="1"/>
  <c r="H360" i="1"/>
  <c r="D361" i="1"/>
  <c r="E361" i="1"/>
  <c r="G361" i="1"/>
  <c r="H361" i="1"/>
  <c r="D362" i="1"/>
  <c r="E362" i="1"/>
  <c r="G362" i="1"/>
  <c r="H362" i="1"/>
  <c r="D363" i="1"/>
  <c r="E363" i="1"/>
  <c r="G363" i="1"/>
  <c r="H363" i="1"/>
  <c r="D364" i="1"/>
  <c r="E364" i="1"/>
  <c r="G364" i="1"/>
  <c r="H364" i="1"/>
  <c r="D365" i="1"/>
  <c r="E365" i="1"/>
  <c r="G365" i="1"/>
  <c r="H365" i="1"/>
  <c r="D366" i="1"/>
  <c r="E366" i="1"/>
  <c r="G366" i="1"/>
  <c r="H366" i="1"/>
  <c r="D367" i="1"/>
  <c r="E367" i="1"/>
  <c r="G367" i="1"/>
  <c r="H367" i="1"/>
  <c r="D368" i="1"/>
  <c r="E368" i="1"/>
  <c r="G368" i="1"/>
  <c r="H368" i="1"/>
  <c r="D369" i="1"/>
  <c r="E369" i="1"/>
  <c r="G369" i="1"/>
  <c r="H369" i="1"/>
  <c r="D370" i="1"/>
  <c r="E370" i="1"/>
  <c r="G370" i="1"/>
  <c r="H370" i="1"/>
  <c r="D371" i="1"/>
  <c r="E371" i="1"/>
  <c r="G371" i="1"/>
  <c r="H371" i="1"/>
  <c r="D68" i="3"/>
  <c r="E68" i="3"/>
  <c r="G68" i="3"/>
  <c r="H68" i="3"/>
  <c r="D69" i="3"/>
  <c r="E69" i="3"/>
  <c r="G69" i="3"/>
  <c r="H69" i="3"/>
  <c r="D70" i="3"/>
  <c r="E70" i="3"/>
  <c r="G70" i="3"/>
  <c r="H70" i="3"/>
  <c r="D71" i="3"/>
  <c r="E71" i="3"/>
  <c r="G71" i="3"/>
  <c r="H71" i="3"/>
  <c r="D72" i="3"/>
  <c r="E72" i="3"/>
  <c r="G72" i="3"/>
  <c r="H72" i="3"/>
  <c r="D73" i="3"/>
  <c r="E73" i="3"/>
  <c r="G73" i="3"/>
  <c r="H73" i="3"/>
  <c r="D74" i="3"/>
  <c r="E74" i="3"/>
  <c r="G74" i="3"/>
  <c r="H74" i="3"/>
  <c r="D75" i="3"/>
  <c r="E75" i="3"/>
  <c r="G75" i="3"/>
  <c r="H75" i="3"/>
  <c r="D76" i="3"/>
  <c r="E76" i="3"/>
  <c r="G76" i="3"/>
  <c r="H76" i="3"/>
  <c r="D77" i="3"/>
  <c r="E77" i="3"/>
  <c r="G77" i="3"/>
  <c r="H77" i="3"/>
  <c r="D78" i="3"/>
  <c r="E78" i="3"/>
  <c r="G78" i="3"/>
  <c r="H78" i="3"/>
  <c r="D79" i="3"/>
  <c r="E79" i="3"/>
  <c r="G79" i="3"/>
  <c r="H79" i="3"/>
  <c r="D80" i="3"/>
  <c r="E80" i="3"/>
  <c r="G80" i="3"/>
  <c r="H80" i="3"/>
  <c r="D81" i="3"/>
  <c r="E81" i="3"/>
  <c r="G81" i="3"/>
  <c r="H81" i="3"/>
  <c r="D82" i="3"/>
  <c r="E82" i="3"/>
  <c r="G82" i="3"/>
  <c r="H82" i="3"/>
  <c r="D83" i="3"/>
  <c r="E83" i="3"/>
  <c r="G83" i="3"/>
  <c r="H83" i="3"/>
  <c r="D84" i="3"/>
  <c r="E84" i="3"/>
  <c r="G84" i="3"/>
  <c r="H84" i="3"/>
  <c r="D85" i="3"/>
  <c r="E85" i="3"/>
  <c r="G85" i="3"/>
  <c r="H85" i="3"/>
  <c r="D86" i="3"/>
  <c r="E86" i="3"/>
  <c r="G86" i="3"/>
  <c r="H86" i="3"/>
  <c r="D87" i="3"/>
  <c r="E87" i="3"/>
  <c r="G87" i="3"/>
  <c r="H87" i="3"/>
  <c r="D88" i="3"/>
  <c r="E88" i="3"/>
  <c r="G88" i="3"/>
  <c r="H88" i="3"/>
  <c r="D89" i="3"/>
  <c r="E89" i="3"/>
  <c r="G89" i="3"/>
  <c r="H89" i="3"/>
  <c r="D90" i="3"/>
  <c r="E90" i="3"/>
  <c r="G90" i="3"/>
  <c r="H90" i="3"/>
  <c r="D91" i="3"/>
  <c r="E91" i="3"/>
  <c r="G91" i="3"/>
  <c r="H91" i="3"/>
  <c r="D92" i="3"/>
  <c r="E92" i="3"/>
  <c r="G92" i="3"/>
  <c r="H92" i="3"/>
  <c r="D93" i="3"/>
  <c r="E93" i="3"/>
  <c r="G93" i="3"/>
  <c r="H93" i="3"/>
  <c r="D94" i="3"/>
  <c r="E94" i="3"/>
  <c r="G94" i="3"/>
  <c r="H94" i="3"/>
  <c r="D95" i="3"/>
  <c r="E95" i="3"/>
  <c r="G95" i="3"/>
  <c r="H95" i="3"/>
  <c r="D96" i="3"/>
  <c r="E96" i="3"/>
  <c r="G96" i="3"/>
  <c r="H96" i="3"/>
  <c r="D97" i="3"/>
  <c r="E97" i="3"/>
  <c r="G97" i="3"/>
  <c r="H97" i="3"/>
  <c r="D98" i="3"/>
  <c r="E98" i="3"/>
  <c r="G98" i="3"/>
  <c r="H98" i="3"/>
  <c r="D99" i="3"/>
  <c r="E99" i="3"/>
  <c r="G99" i="3"/>
  <c r="H99" i="3"/>
  <c r="D100" i="3"/>
  <c r="E100" i="3"/>
  <c r="G100" i="3"/>
  <c r="H100" i="3"/>
  <c r="D101" i="3"/>
  <c r="E101" i="3"/>
  <c r="G101" i="3"/>
  <c r="H101" i="3"/>
  <c r="D102" i="3"/>
  <c r="E102" i="3"/>
  <c r="G102" i="3"/>
  <c r="H102" i="3"/>
  <c r="D103" i="3"/>
  <c r="E103" i="3"/>
  <c r="G103" i="3"/>
  <c r="H103" i="3"/>
  <c r="D104" i="3"/>
  <c r="E104" i="3"/>
  <c r="G104" i="3"/>
  <c r="H104" i="3"/>
  <c r="D105" i="3"/>
  <c r="E105" i="3"/>
  <c r="G105" i="3"/>
  <c r="H105" i="3"/>
  <c r="D106" i="3"/>
  <c r="E106" i="3"/>
  <c r="G106" i="3"/>
  <c r="H106" i="3"/>
  <c r="D107" i="3"/>
  <c r="E107" i="3"/>
  <c r="G107" i="3"/>
  <c r="H107" i="3"/>
  <c r="D108" i="3"/>
  <c r="E108" i="3"/>
  <c r="G108" i="3"/>
  <c r="H108" i="3"/>
  <c r="D109" i="3"/>
  <c r="E109" i="3"/>
  <c r="G109" i="3"/>
  <c r="H109" i="3"/>
  <c r="D110" i="3"/>
  <c r="E110" i="3"/>
  <c r="G110" i="3"/>
  <c r="H110" i="3"/>
  <c r="D111" i="3"/>
  <c r="E111" i="3"/>
  <c r="G111" i="3"/>
  <c r="H111" i="3"/>
  <c r="D112" i="3"/>
  <c r="E112" i="3"/>
  <c r="G112" i="3"/>
  <c r="H112" i="3"/>
  <c r="D113" i="3"/>
  <c r="E113" i="3"/>
  <c r="G113" i="3"/>
  <c r="H113" i="3"/>
  <c r="D114" i="3"/>
  <c r="E114" i="3"/>
  <c r="G114" i="3"/>
  <c r="H114" i="3"/>
  <c r="D115" i="3"/>
  <c r="E115" i="3"/>
  <c r="G115" i="3"/>
  <c r="H115" i="3"/>
  <c r="D116" i="3"/>
  <c r="E116" i="3"/>
  <c r="G116" i="3"/>
  <c r="H116" i="3"/>
  <c r="D117" i="3"/>
  <c r="E117" i="3"/>
  <c r="G117" i="3"/>
  <c r="H117" i="3"/>
  <c r="D118" i="3"/>
  <c r="E118" i="3"/>
  <c r="G118" i="3"/>
  <c r="H118" i="3"/>
  <c r="D119" i="3"/>
  <c r="E119" i="3"/>
  <c r="G119" i="3"/>
  <c r="H119" i="3"/>
  <c r="D120" i="3"/>
  <c r="E120" i="3"/>
  <c r="G120" i="3"/>
  <c r="H120" i="3"/>
  <c r="D121" i="3"/>
  <c r="E121" i="3"/>
  <c r="G121" i="3"/>
  <c r="H121" i="3"/>
  <c r="D122" i="3"/>
  <c r="E122" i="3"/>
  <c r="G122" i="3"/>
  <c r="H122" i="3"/>
  <c r="D123" i="3"/>
  <c r="E123" i="3"/>
  <c r="G123" i="3"/>
  <c r="H123" i="3"/>
  <c r="D124" i="3"/>
  <c r="E124" i="3"/>
  <c r="G124" i="3"/>
  <c r="H124" i="3"/>
  <c r="D125" i="3"/>
  <c r="E125" i="3"/>
  <c r="G125" i="3"/>
  <c r="H125" i="3"/>
  <c r="D126" i="3"/>
  <c r="E126" i="3"/>
  <c r="G126" i="3"/>
  <c r="H126" i="3"/>
  <c r="D127" i="3"/>
  <c r="E127" i="3"/>
  <c r="G127" i="3"/>
  <c r="H127" i="3"/>
  <c r="D128" i="3"/>
  <c r="E128" i="3"/>
  <c r="G128" i="3"/>
  <c r="H128" i="3"/>
  <c r="D129" i="3"/>
  <c r="E129" i="3"/>
  <c r="G129" i="3"/>
  <c r="H129" i="3"/>
  <c r="D130" i="3"/>
  <c r="E130" i="3"/>
  <c r="G130" i="3"/>
  <c r="H130" i="3"/>
  <c r="D131" i="3"/>
  <c r="E131" i="3"/>
  <c r="G131" i="3"/>
  <c r="H131" i="3"/>
  <c r="D132" i="3"/>
  <c r="E132" i="3"/>
  <c r="G132" i="3"/>
  <c r="H132" i="3"/>
  <c r="D133" i="3"/>
  <c r="E133" i="3"/>
  <c r="G133" i="3"/>
  <c r="H133" i="3"/>
  <c r="D134" i="3"/>
  <c r="E134" i="3"/>
  <c r="G134" i="3"/>
  <c r="H134" i="3"/>
  <c r="D135" i="3"/>
  <c r="E135" i="3"/>
  <c r="G135" i="3"/>
  <c r="H135" i="3"/>
  <c r="D136" i="3"/>
  <c r="E136" i="3"/>
  <c r="G136" i="3"/>
  <c r="H136" i="3"/>
  <c r="D137" i="3"/>
  <c r="E137" i="3"/>
  <c r="G137" i="3"/>
  <c r="H137" i="3"/>
  <c r="D138" i="3"/>
  <c r="E138" i="3"/>
  <c r="G138" i="3"/>
  <c r="H138" i="3"/>
  <c r="D139" i="3"/>
  <c r="E139" i="3"/>
  <c r="G139" i="3"/>
  <c r="H139" i="3"/>
  <c r="D140" i="3"/>
  <c r="E140" i="3"/>
  <c r="G140" i="3"/>
  <c r="H140" i="3"/>
  <c r="D141" i="3"/>
  <c r="E141" i="3"/>
  <c r="G141" i="3"/>
  <c r="H141" i="3"/>
  <c r="D142" i="3"/>
  <c r="E142" i="3"/>
  <c r="G142" i="3"/>
  <c r="H142" i="3"/>
  <c r="D143" i="3"/>
  <c r="E143" i="3"/>
  <c r="G143" i="3"/>
  <c r="H143" i="3"/>
  <c r="D144" i="3"/>
  <c r="E144" i="3"/>
  <c r="G144" i="3"/>
  <c r="H144" i="3"/>
  <c r="D145" i="3"/>
  <c r="E145" i="3"/>
  <c r="G145" i="3"/>
  <c r="H145" i="3"/>
  <c r="D146" i="3"/>
  <c r="E146" i="3"/>
  <c r="G146" i="3"/>
  <c r="H146" i="3"/>
  <c r="D147" i="3"/>
  <c r="E147" i="3"/>
  <c r="G147" i="3"/>
  <c r="H147" i="3"/>
  <c r="D148" i="3"/>
  <c r="E148" i="3"/>
  <c r="G148" i="3"/>
  <c r="H148" i="3"/>
  <c r="D149" i="3"/>
  <c r="E149" i="3"/>
  <c r="G149" i="3"/>
  <c r="H149" i="3"/>
  <c r="D150" i="3"/>
  <c r="E150" i="3"/>
  <c r="G150" i="3"/>
  <c r="H150" i="3"/>
  <c r="D151" i="3"/>
  <c r="E151" i="3"/>
  <c r="G151" i="3"/>
  <c r="H151" i="3"/>
  <c r="D152" i="3"/>
  <c r="E152" i="3"/>
  <c r="G152" i="3"/>
  <c r="H152" i="3"/>
  <c r="D153" i="3"/>
  <c r="E153" i="3"/>
  <c r="G153" i="3"/>
  <c r="H153" i="3"/>
  <c r="D154" i="3"/>
  <c r="E154" i="3"/>
  <c r="G154" i="3"/>
  <c r="H154" i="3"/>
  <c r="D155" i="3"/>
  <c r="E155" i="3"/>
  <c r="G155" i="3"/>
  <c r="H155" i="3"/>
  <c r="D156" i="3"/>
  <c r="E156" i="3"/>
  <c r="G156" i="3"/>
  <c r="H156" i="3"/>
  <c r="D157" i="3"/>
  <c r="E157" i="3"/>
  <c r="G157" i="3"/>
  <c r="H157" i="3"/>
  <c r="D158" i="3"/>
  <c r="E158" i="3"/>
  <c r="G158" i="3"/>
  <c r="H158" i="3"/>
  <c r="D159" i="3"/>
  <c r="E159" i="3"/>
  <c r="G159" i="3"/>
  <c r="H159" i="3"/>
  <c r="D160" i="3"/>
  <c r="E160" i="3"/>
  <c r="G160" i="3"/>
  <c r="H160" i="3"/>
  <c r="D161" i="3"/>
  <c r="E161" i="3"/>
  <c r="G161" i="3"/>
  <c r="H161" i="3"/>
  <c r="D162" i="3"/>
  <c r="E162" i="3"/>
  <c r="G162" i="3"/>
  <c r="H162" i="3"/>
  <c r="D163" i="3"/>
  <c r="E163" i="3"/>
  <c r="G163" i="3"/>
  <c r="H163" i="3"/>
  <c r="D164" i="3"/>
  <c r="E164" i="3"/>
  <c r="G164" i="3"/>
  <c r="H164" i="3"/>
  <c r="D165" i="3"/>
  <c r="E165" i="3"/>
  <c r="G165" i="3"/>
  <c r="H165" i="3"/>
  <c r="D166" i="3"/>
  <c r="E166" i="3"/>
  <c r="G166" i="3"/>
  <c r="H166" i="3"/>
  <c r="D167" i="3"/>
  <c r="E167" i="3"/>
  <c r="G167" i="3"/>
  <c r="H167" i="3"/>
  <c r="D168" i="3"/>
  <c r="E168" i="3"/>
  <c r="G168" i="3"/>
  <c r="H168" i="3"/>
  <c r="D169" i="3"/>
  <c r="E169" i="3"/>
  <c r="G169" i="3"/>
  <c r="H169" i="3"/>
  <c r="D170" i="3"/>
  <c r="E170" i="3"/>
  <c r="G170" i="3"/>
  <c r="H170" i="3"/>
  <c r="D171" i="3"/>
  <c r="E171" i="3"/>
  <c r="G171" i="3"/>
  <c r="H171" i="3"/>
  <c r="D172" i="3"/>
  <c r="E172" i="3"/>
  <c r="G172" i="3"/>
  <c r="H172" i="3"/>
  <c r="D173" i="3"/>
  <c r="E173" i="3"/>
  <c r="G173" i="3"/>
  <c r="H173" i="3"/>
  <c r="D174" i="3"/>
  <c r="E174" i="3"/>
  <c r="G174" i="3"/>
  <c r="H174" i="3"/>
  <c r="D175" i="3"/>
  <c r="E175" i="3"/>
  <c r="G175" i="3"/>
  <c r="H175" i="3"/>
  <c r="D176" i="3"/>
  <c r="E176" i="3"/>
  <c r="G176" i="3"/>
  <c r="H176" i="3"/>
  <c r="D177" i="3"/>
  <c r="E177" i="3"/>
  <c r="G177" i="3"/>
  <c r="H177" i="3"/>
  <c r="D178" i="3"/>
  <c r="E178" i="3"/>
  <c r="G178" i="3"/>
  <c r="H178" i="3"/>
  <c r="D179" i="3"/>
  <c r="E179" i="3"/>
  <c r="G179" i="3"/>
  <c r="H179" i="3"/>
  <c r="D180" i="3"/>
  <c r="E180" i="3"/>
  <c r="G180" i="3"/>
  <c r="H180" i="3"/>
  <c r="D181" i="3"/>
  <c r="E181" i="3"/>
  <c r="G181" i="3"/>
  <c r="H181" i="3"/>
  <c r="D182" i="3"/>
  <c r="E182" i="3"/>
  <c r="G182" i="3"/>
  <c r="H182" i="3"/>
  <c r="D183" i="3"/>
  <c r="E183" i="3"/>
  <c r="G183" i="3"/>
  <c r="H183" i="3"/>
  <c r="D184" i="3"/>
  <c r="E184" i="3"/>
  <c r="G184" i="3"/>
  <c r="H184" i="3"/>
  <c r="D185" i="3"/>
  <c r="E185" i="3"/>
  <c r="G185" i="3"/>
  <c r="H185" i="3"/>
  <c r="D186" i="3"/>
  <c r="E186" i="3"/>
  <c r="G186" i="3"/>
  <c r="H186" i="3"/>
  <c r="D187" i="3"/>
  <c r="E187" i="3"/>
  <c r="G187" i="3"/>
  <c r="H187" i="3"/>
  <c r="D188" i="3"/>
  <c r="E188" i="3"/>
  <c r="G188" i="3"/>
  <c r="H188" i="3"/>
  <c r="D189" i="3"/>
  <c r="E189" i="3"/>
  <c r="G189" i="3"/>
  <c r="H189" i="3"/>
  <c r="D190" i="3"/>
  <c r="E190" i="3"/>
  <c r="G190" i="3"/>
  <c r="H190" i="3"/>
  <c r="D191" i="3"/>
  <c r="E191" i="3"/>
  <c r="G191" i="3"/>
  <c r="H191" i="3"/>
  <c r="D192" i="3"/>
  <c r="E192" i="3"/>
  <c r="G192" i="3"/>
  <c r="H192" i="3"/>
  <c r="D193" i="3"/>
  <c r="E193" i="3"/>
  <c r="G193" i="3"/>
  <c r="H193" i="3"/>
  <c r="D194" i="3"/>
  <c r="E194" i="3"/>
  <c r="G194" i="3"/>
  <c r="H194" i="3"/>
  <c r="D195" i="3"/>
  <c r="E195" i="3"/>
  <c r="G195" i="3"/>
  <c r="H195" i="3"/>
  <c r="D196" i="3"/>
  <c r="E196" i="3"/>
  <c r="G196" i="3"/>
  <c r="H196" i="3"/>
  <c r="D197" i="3"/>
  <c r="E197" i="3"/>
  <c r="G197" i="3"/>
  <c r="H197" i="3"/>
  <c r="D198" i="3"/>
  <c r="E198" i="3"/>
  <c r="G198" i="3"/>
  <c r="H198" i="3"/>
  <c r="D199" i="3"/>
  <c r="E199" i="3"/>
  <c r="G199" i="3"/>
  <c r="H199" i="3"/>
  <c r="D200" i="3"/>
  <c r="E200" i="3"/>
  <c r="G200" i="3"/>
  <c r="H200" i="3"/>
  <c r="D201" i="3"/>
  <c r="E201" i="3"/>
  <c r="G201" i="3"/>
  <c r="H201" i="3"/>
  <c r="D202" i="3"/>
  <c r="E202" i="3"/>
  <c r="G202" i="3"/>
  <c r="H202" i="3"/>
  <c r="D203" i="3"/>
  <c r="E203" i="3"/>
  <c r="G203" i="3"/>
  <c r="H203" i="3"/>
  <c r="D204" i="3"/>
  <c r="E204" i="3"/>
  <c r="G204" i="3"/>
  <c r="H204" i="3"/>
  <c r="D205" i="3"/>
  <c r="E205" i="3"/>
  <c r="G205" i="3"/>
  <c r="H205" i="3"/>
  <c r="D206" i="3"/>
  <c r="E206" i="3"/>
  <c r="G206" i="3"/>
  <c r="H206" i="3"/>
  <c r="D207" i="3"/>
  <c r="E207" i="3"/>
  <c r="G207" i="3"/>
  <c r="H207" i="3"/>
  <c r="D208" i="3"/>
  <c r="E208" i="3"/>
  <c r="G208" i="3"/>
  <c r="H208" i="3"/>
  <c r="D209" i="3"/>
  <c r="E209" i="3"/>
  <c r="G209" i="3"/>
  <c r="H209" i="3"/>
  <c r="D210" i="3"/>
  <c r="E210" i="3"/>
  <c r="G210" i="3"/>
  <c r="H210" i="3"/>
  <c r="D211" i="3"/>
  <c r="E211" i="3"/>
  <c r="G211" i="3"/>
  <c r="H211" i="3"/>
  <c r="D212" i="3"/>
  <c r="E212" i="3"/>
  <c r="G212" i="3"/>
  <c r="H212" i="3"/>
  <c r="D213" i="3"/>
  <c r="E213" i="3"/>
  <c r="G213" i="3"/>
  <c r="H213" i="3"/>
  <c r="D214" i="3"/>
  <c r="E214" i="3"/>
  <c r="G214" i="3"/>
  <c r="H214" i="3"/>
  <c r="D215" i="3"/>
  <c r="E215" i="3"/>
  <c r="G215" i="3"/>
  <c r="H215" i="3"/>
  <c r="D216" i="3"/>
  <c r="E216" i="3"/>
  <c r="G216" i="3"/>
  <c r="H216" i="3"/>
  <c r="D217" i="3"/>
  <c r="E217" i="3"/>
  <c r="G217" i="3"/>
  <c r="H217" i="3"/>
  <c r="D218" i="3"/>
  <c r="E218" i="3"/>
  <c r="G218" i="3"/>
  <c r="H218" i="3"/>
  <c r="D219" i="3"/>
  <c r="E219" i="3"/>
  <c r="G219" i="3"/>
  <c r="H219" i="3"/>
  <c r="D220" i="3"/>
  <c r="E220" i="3"/>
  <c r="G220" i="3"/>
  <c r="H220" i="3"/>
  <c r="D221" i="3"/>
  <c r="E221" i="3"/>
  <c r="G221" i="3"/>
  <c r="H221" i="3"/>
  <c r="D222" i="3"/>
  <c r="E222" i="3"/>
  <c r="G222" i="3"/>
  <c r="H222" i="3"/>
  <c r="D223" i="3"/>
  <c r="E223" i="3"/>
  <c r="G223" i="3"/>
  <c r="H223" i="3"/>
  <c r="D224" i="3"/>
  <c r="E224" i="3"/>
  <c r="G224" i="3"/>
  <c r="H224" i="3"/>
  <c r="D225" i="3"/>
  <c r="E225" i="3"/>
  <c r="G225" i="3"/>
  <c r="H225" i="3"/>
  <c r="D226" i="3"/>
  <c r="E226" i="3"/>
  <c r="G226" i="3"/>
  <c r="H226" i="3"/>
  <c r="D227" i="3"/>
  <c r="E227" i="3"/>
  <c r="G227" i="3"/>
  <c r="H227" i="3"/>
  <c r="D228" i="3"/>
  <c r="E228" i="3"/>
  <c r="G228" i="3"/>
  <c r="H228" i="3"/>
  <c r="D229" i="3"/>
  <c r="E229" i="3"/>
  <c r="G229" i="3"/>
  <c r="H229" i="3"/>
  <c r="D230" i="3"/>
  <c r="E230" i="3"/>
  <c r="G230" i="3"/>
  <c r="H230" i="3"/>
  <c r="D231" i="3"/>
  <c r="E231" i="3"/>
  <c r="G231" i="3"/>
  <c r="H231" i="3"/>
  <c r="D232" i="3"/>
  <c r="E232" i="3"/>
  <c r="G232" i="3"/>
  <c r="H232" i="3"/>
  <c r="D233" i="3"/>
  <c r="E233" i="3"/>
  <c r="G233" i="3"/>
  <c r="H233" i="3"/>
  <c r="D234" i="3"/>
  <c r="E234" i="3"/>
  <c r="G234" i="3"/>
  <c r="H234" i="3"/>
  <c r="D235" i="3"/>
  <c r="E235" i="3"/>
  <c r="G235" i="3"/>
  <c r="H235" i="3"/>
  <c r="D236" i="3"/>
  <c r="E236" i="3"/>
  <c r="G236" i="3"/>
  <c r="H236" i="3"/>
  <c r="D237" i="3"/>
  <c r="E237" i="3"/>
  <c r="G237" i="3"/>
  <c r="H237" i="3"/>
  <c r="D238" i="3"/>
  <c r="E238" i="3"/>
  <c r="G238" i="3"/>
  <c r="H238" i="3"/>
  <c r="D239" i="3"/>
  <c r="E239" i="3"/>
  <c r="G239" i="3"/>
  <c r="H239" i="3"/>
  <c r="D240" i="3"/>
  <c r="E240" i="3"/>
  <c r="G240" i="3"/>
  <c r="H240" i="3"/>
  <c r="D241" i="3"/>
  <c r="E241" i="3"/>
  <c r="G241" i="3"/>
  <c r="H241" i="3"/>
  <c r="D242" i="3"/>
  <c r="E242" i="3"/>
  <c r="G242" i="3"/>
  <c r="H242" i="3"/>
  <c r="D243" i="3"/>
  <c r="E243" i="3"/>
  <c r="G243" i="3"/>
  <c r="H243" i="3"/>
  <c r="D244" i="3"/>
  <c r="E244" i="3"/>
  <c r="G244" i="3"/>
  <c r="H244" i="3"/>
  <c r="D245" i="3"/>
  <c r="E245" i="3"/>
  <c r="G245" i="3"/>
  <c r="H245" i="3"/>
  <c r="D246" i="3"/>
  <c r="E246" i="3"/>
  <c r="G246" i="3"/>
  <c r="H246" i="3"/>
  <c r="D247" i="3"/>
  <c r="E247" i="3"/>
  <c r="G247" i="3"/>
  <c r="H247" i="3"/>
  <c r="D248" i="3"/>
  <c r="E248" i="3"/>
  <c r="G248" i="3"/>
  <c r="H248" i="3"/>
  <c r="D249" i="3"/>
  <c r="E249" i="3"/>
  <c r="G249" i="3"/>
  <c r="H249" i="3"/>
  <c r="D250" i="3"/>
  <c r="E250" i="3"/>
  <c r="G250" i="3"/>
  <c r="H250" i="3"/>
  <c r="D251" i="3"/>
  <c r="E251" i="3"/>
  <c r="G251" i="3"/>
  <c r="H251" i="3"/>
  <c r="D252" i="3"/>
  <c r="E252" i="3"/>
  <c r="G252" i="3"/>
  <c r="H252" i="3"/>
  <c r="D253" i="3"/>
  <c r="E253" i="3"/>
  <c r="G253" i="3"/>
  <c r="H253" i="3"/>
  <c r="D254" i="3"/>
  <c r="E254" i="3"/>
  <c r="G254" i="3"/>
  <c r="H254" i="3"/>
  <c r="D255" i="3"/>
  <c r="E255" i="3"/>
  <c r="G255" i="3"/>
  <c r="H255" i="3"/>
  <c r="D256" i="3"/>
  <c r="E256" i="3"/>
  <c r="G256" i="3"/>
  <c r="H256" i="3"/>
  <c r="D257" i="3"/>
  <c r="E257" i="3"/>
  <c r="G257" i="3"/>
  <c r="H257" i="3"/>
  <c r="D258" i="3"/>
  <c r="E258" i="3"/>
  <c r="G258" i="3"/>
  <c r="H258" i="3"/>
  <c r="D259" i="3"/>
  <c r="E259" i="3"/>
  <c r="G259" i="3"/>
  <c r="H259" i="3"/>
  <c r="D260" i="3"/>
  <c r="E260" i="3"/>
  <c r="G260" i="3"/>
  <c r="H260" i="3"/>
  <c r="D261" i="3"/>
  <c r="E261" i="3"/>
  <c r="G261" i="3"/>
  <c r="H261" i="3"/>
  <c r="D262" i="3"/>
  <c r="E262" i="3"/>
  <c r="G262" i="3"/>
  <c r="H262" i="3"/>
  <c r="D263" i="3"/>
  <c r="E263" i="3"/>
  <c r="G263" i="3"/>
  <c r="H263" i="3"/>
  <c r="D264" i="3"/>
  <c r="E264" i="3"/>
  <c r="G264" i="3"/>
  <c r="H264" i="3"/>
  <c r="D265" i="3"/>
  <c r="E265" i="3"/>
  <c r="G265" i="3"/>
  <c r="H265" i="3"/>
  <c r="D266" i="3"/>
  <c r="E266" i="3"/>
  <c r="G266" i="3"/>
  <c r="H266" i="3"/>
  <c r="D267" i="3"/>
  <c r="E267" i="3"/>
  <c r="G267" i="3"/>
  <c r="H267" i="3"/>
  <c r="D268" i="3"/>
  <c r="E268" i="3"/>
  <c r="G268" i="3"/>
  <c r="H268" i="3"/>
  <c r="D269" i="3"/>
  <c r="E269" i="3"/>
  <c r="G269" i="3"/>
  <c r="H269" i="3"/>
  <c r="D270" i="3"/>
  <c r="E270" i="3"/>
  <c r="G270" i="3"/>
  <c r="H270" i="3"/>
  <c r="D271" i="3"/>
  <c r="E271" i="3"/>
  <c r="G271" i="3"/>
  <c r="H271" i="3"/>
  <c r="D272" i="3"/>
  <c r="E272" i="3"/>
  <c r="G272" i="3"/>
  <c r="H272" i="3"/>
  <c r="D273" i="3"/>
  <c r="E273" i="3"/>
  <c r="G273" i="3"/>
  <c r="H273" i="3"/>
  <c r="D274" i="3"/>
  <c r="E274" i="3"/>
  <c r="G274" i="3"/>
  <c r="H274" i="3"/>
  <c r="D275" i="3"/>
  <c r="E275" i="3"/>
  <c r="G275" i="3"/>
  <c r="H275" i="3"/>
  <c r="D276" i="3"/>
  <c r="E276" i="3"/>
  <c r="G276" i="3"/>
  <c r="H276" i="3"/>
  <c r="D277" i="3"/>
  <c r="E277" i="3"/>
  <c r="G277" i="3"/>
  <c r="H277" i="3"/>
  <c r="D278" i="3"/>
  <c r="E278" i="3"/>
  <c r="G278" i="3"/>
  <c r="H278" i="3"/>
  <c r="D279" i="3"/>
  <c r="E279" i="3"/>
  <c r="G279" i="3"/>
  <c r="H279" i="3"/>
  <c r="D280" i="3"/>
  <c r="E280" i="3"/>
  <c r="G280" i="3"/>
  <c r="H280" i="3"/>
  <c r="D281" i="3"/>
  <c r="E281" i="3"/>
  <c r="G281" i="3"/>
  <c r="H281" i="3"/>
  <c r="D282" i="3"/>
  <c r="E282" i="3"/>
  <c r="G282" i="3"/>
  <c r="H282" i="3"/>
  <c r="D283" i="3"/>
  <c r="E283" i="3"/>
  <c r="G283" i="3"/>
  <c r="H283" i="3"/>
  <c r="D284" i="3"/>
  <c r="E284" i="3"/>
  <c r="G284" i="3"/>
  <c r="H284" i="3"/>
  <c r="D285" i="3"/>
  <c r="E285" i="3"/>
  <c r="G285" i="3"/>
  <c r="H285" i="3"/>
  <c r="D286" i="3"/>
  <c r="E286" i="3"/>
  <c r="G286" i="3"/>
  <c r="H286" i="3"/>
  <c r="D287" i="3"/>
  <c r="E287" i="3"/>
  <c r="G287" i="3"/>
  <c r="H287" i="3"/>
  <c r="D288" i="3"/>
  <c r="E288" i="3"/>
  <c r="G288" i="3"/>
  <c r="H288" i="3"/>
  <c r="D289" i="3"/>
  <c r="E289" i="3"/>
  <c r="G289" i="3"/>
  <c r="H289" i="3"/>
  <c r="D290" i="3"/>
  <c r="E290" i="3"/>
  <c r="G290" i="3"/>
  <c r="H290" i="3"/>
  <c r="D291" i="3"/>
  <c r="E291" i="3"/>
  <c r="G291" i="3"/>
  <c r="H291" i="3"/>
  <c r="D292" i="3"/>
  <c r="E292" i="3"/>
  <c r="G292" i="3"/>
  <c r="H292" i="3"/>
  <c r="D293" i="3"/>
  <c r="E293" i="3"/>
  <c r="G293" i="3"/>
  <c r="H293" i="3"/>
  <c r="D294" i="3"/>
  <c r="E294" i="3"/>
  <c r="G294" i="3"/>
  <c r="H294" i="3"/>
  <c r="D295" i="3"/>
  <c r="E295" i="3"/>
  <c r="G295" i="3"/>
  <c r="H295" i="3"/>
  <c r="D296" i="3"/>
  <c r="E296" i="3"/>
  <c r="G296" i="3"/>
  <c r="H296" i="3"/>
  <c r="D297" i="3"/>
  <c r="E297" i="3"/>
  <c r="G297" i="3"/>
  <c r="H297" i="3"/>
  <c r="D298" i="3"/>
  <c r="E298" i="3"/>
  <c r="G298" i="3"/>
  <c r="H298" i="3"/>
  <c r="D299" i="3"/>
  <c r="E299" i="3"/>
  <c r="G299" i="3"/>
  <c r="H299" i="3"/>
  <c r="D300" i="3"/>
  <c r="E300" i="3"/>
  <c r="G300" i="3"/>
  <c r="H300" i="3"/>
  <c r="D301" i="3"/>
  <c r="E301" i="3"/>
  <c r="G301" i="3"/>
  <c r="H301" i="3"/>
  <c r="D302" i="3"/>
  <c r="E302" i="3"/>
  <c r="G302" i="3"/>
  <c r="H302" i="3"/>
  <c r="D303" i="3"/>
  <c r="E303" i="3"/>
  <c r="G303" i="3"/>
  <c r="H303" i="3"/>
  <c r="D304" i="3"/>
  <c r="E304" i="3"/>
  <c r="G304" i="3"/>
  <c r="H304" i="3"/>
  <c r="D305" i="3"/>
  <c r="E305" i="3"/>
  <c r="G305" i="3"/>
  <c r="H305" i="3"/>
  <c r="D306" i="3"/>
  <c r="E306" i="3"/>
  <c r="G306" i="3"/>
  <c r="H306" i="3"/>
  <c r="D307" i="3"/>
  <c r="E307" i="3"/>
  <c r="G307" i="3"/>
  <c r="H307" i="3"/>
  <c r="D308" i="3"/>
  <c r="E308" i="3"/>
  <c r="G308" i="3"/>
  <c r="H308" i="3"/>
  <c r="D309" i="3"/>
  <c r="E309" i="3"/>
  <c r="G309" i="3"/>
  <c r="H309" i="3"/>
  <c r="D310" i="3"/>
  <c r="E310" i="3"/>
  <c r="G310" i="3"/>
  <c r="H310" i="3"/>
  <c r="D311" i="3"/>
  <c r="E311" i="3"/>
  <c r="G311" i="3"/>
  <c r="H311" i="3"/>
  <c r="D312" i="3"/>
  <c r="E312" i="3"/>
  <c r="G312" i="3"/>
  <c r="H312" i="3"/>
  <c r="D313" i="3"/>
  <c r="E313" i="3"/>
  <c r="G313" i="3"/>
  <c r="H313" i="3"/>
  <c r="D314" i="3"/>
  <c r="E314" i="3"/>
  <c r="G314" i="3"/>
  <c r="H314" i="3"/>
  <c r="D315" i="3"/>
  <c r="E315" i="3"/>
  <c r="G315" i="3"/>
  <c r="H315" i="3"/>
  <c r="D316" i="3"/>
  <c r="E316" i="3"/>
  <c r="G316" i="3"/>
  <c r="H316" i="3"/>
  <c r="D317" i="3"/>
  <c r="E317" i="3"/>
  <c r="G317" i="3"/>
  <c r="H317" i="3"/>
  <c r="D318" i="3"/>
  <c r="E318" i="3"/>
  <c r="G318" i="3"/>
  <c r="H318" i="3"/>
  <c r="D319" i="3"/>
  <c r="E319" i="3"/>
  <c r="G319" i="3"/>
  <c r="H319" i="3"/>
  <c r="D320" i="3"/>
  <c r="E320" i="3"/>
  <c r="G320" i="3"/>
  <c r="H320" i="3"/>
  <c r="D321" i="3"/>
  <c r="E321" i="3"/>
  <c r="G321" i="3"/>
  <c r="H321" i="3"/>
  <c r="B1" i="3"/>
  <c r="B3" i="3"/>
  <c r="B4" i="3"/>
  <c r="D7" i="3"/>
  <c r="E7" i="3"/>
  <c r="G7" i="3"/>
  <c r="H7" i="3"/>
  <c r="D8" i="3"/>
  <c r="E8" i="3"/>
  <c r="G8" i="3"/>
  <c r="H8" i="3"/>
  <c r="D9" i="3"/>
  <c r="E9" i="3"/>
  <c r="G9" i="3"/>
  <c r="H9" i="3"/>
  <c r="D10" i="3"/>
  <c r="E10" i="3"/>
  <c r="G10" i="3"/>
  <c r="H10" i="3"/>
  <c r="D11" i="3"/>
  <c r="E11" i="3"/>
  <c r="G11" i="3"/>
  <c r="H11" i="3"/>
  <c r="D12" i="3"/>
  <c r="E12" i="3"/>
  <c r="G12" i="3"/>
  <c r="H12" i="3"/>
  <c r="D13" i="3"/>
  <c r="E13" i="3"/>
  <c r="G13" i="3"/>
  <c r="H13" i="3"/>
  <c r="D14" i="3"/>
  <c r="E14" i="3"/>
  <c r="G14" i="3"/>
  <c r="H14" i="3"/>
  <c r="D15" i="3"/>
  <c r="E15" i="3"/>
  <c r="G15" i="3"/>
  <c r="H15" i="3"/>
  <c r="D16" i="3"/>
  <c r="E16" i="3"/>
  <c r="G16" i="3"/>
  <c r="H16" i="3"/>
  <c r="D17" i="3"/>
  <c r="E17" i="3"/>
  <c r="G17" i="3"/>
  <c r="H17" i="3"/>
  <c r="D18" i="3"/>
  <c r="E18" i="3"/>
  <c r="G18" i="3"/>
  <c r="H18" i="3"/>
  <c r="D19" i="3"/>
  <c r="E19" i="3"/>
  <c r="G19" i="3"/>
  <c r="H19" i="3"/>
  <c r="D20" i="3"/>
  <c r="E20" i="3"/>
  <c r="G20" i="3"/>
  <c r="H20" i="3"/>
  <c r="D21" i="3"/>
  <c r="E21" i="3"/>
  <c r="G21" i="3"/>
  <c r="H21" i="3"/>
  <c r="D22" i="3"/>
  <c r="E22" i="3"/>
  <c r="G22" i="3"/>
  <c r="H22" i="3"/>
  <c r="D23" i="3"/>
  <c r="E23" i="3"/>
  <c r="G23" i="3"/>
  <c r="H23" i="3"/>
  <c r="D24" i="3"/>
  <c r="E24" i="3"/>
  <c r="G24" i="3"/>
  <c r="H24" i="3"/>
  <c r="D25" i="3"/>
  <c r="E25" i="3"/>
  <c r="G25" i="3"/>
  <c r="H25" i="3"/>
  <c r="D26" i="3"/>
  <c r="E26" i="3"/>
  <c r="G26" i="3"/>
  <c r="H26" i="3"/>
  <c r="D27" i="3"/>
  <c r="E27" i="3"/>
  <c r="G27" i="3"/>
  <c r="H27" i="3"/>
  <c r="D28" i="3"/>
  <c r="E28" i="3"/>
  <c r="G28" i="3"/>
  <c r="H28" i="3"/>
  <c r="D29" i="3"/>
  <c r="E29" i="3"/>
  <c r="G29" i="3"/>
  <c r="H29" i="3"/>
  <c r="D30" i="3"/>
  <c r="E30" i="3"/>
  <c r="G30" i="3"/>
  <c r="H30" i="3"/>
  <c r="D32" i="3"/>
  <c r="E32" i="3"/>
  <c r="G32" i="3"/>
  <c r="H32" i="3"/>
  <c r="D33" i="3"/>
  <c r="E33" i="3"/>
  <c r="G33" i="3"/>
  <c r="H33" i="3"/>
  <c r="D34" i="3"/>
  <c r="E34" i="3"/>
  <c r="G34" i="3"/>
  <c r="H34" i="3"/>
  <c r="D35" i="3"/>
  <c r="E35" i="3"/>
  <c r="G35" i="3"/>
  <c r="H35" i="3"/>
  <c r="D36" i="3"/>
  <c r="E36" i="3"/>
  <c r="G36" i="3"/>
  <c r="H36" i="3"/>
  <c r="D37" i="3"/>
  <c r="E37" i="3"/>
  <c r="G37" i="3"/>
  <c r="H37" i="3"/>
  <c r="D38" i="3"/>
  <c r="E38" i="3"/>
  <c r="G38" i="3"/>
  <c r="H38" i="3"/>
  <c r="D39" i="3"/>
  <c r="E39" i="3"/>
  <c r="G39" i="3"/>
  <c r="H39" i="3"/>
  <c r="D40" i="3"/>
  <c r="E40" i="3"/>
  <c r="G40" i="3"/>
  <c r="H40" i="3"/>
  <c r="D41" i="3"/>
  <c r="E41" i="3"/>
  <c r="G41" i="3"/>
  <c r="H41" i="3"/>
  <c r="D42" i="3"/>
  <c r="E42" i="3"/>
  <c r="G42" i="3"/>
  <c r="H42" i="3"/>
  <c r="D43" i="3"/>
  <c r="E43" i="3"/>
  <c r="G43" i="3"/>
  <c r="H43" i="3"/>
  <c r="D44" i="3"/>
  <c r="E44" i="3"/>
  <c r="G44" i="3"/>
  <c r="H44" i="3"/>
  <c r="D45" i="3"/>
  <c r="E45" i="3"/>
  <c r="G45" i="3"/>
  <c r="H45" i="3"/>
  <c r="D46" i="3"/>
  <c r="E46" i="3"/>
  <c r="G46" i="3"/>
  <c r="H46" i="3"/>
  <c r="D47" i="3"/>
  <c r="E47" i="3"/>
  <c r="G47" i="3"/>
  <c r="H47" i="3"/>
  <c r="D48" i="3"/>
  <c r="E48" i="3"/>
  <c r="G48" i="3"/>
  <c r="H48" i="3"/>
  <c r="D49" i="3"/>
  <c r="E49" i="3"/>
  <c r="G49" i="3"/>
  <c r="H49" i="3"/>
  <c r="D50" i="3"/>
  <c r="E50" i="3"/>
  <c r="G50" i="3"/>
  <c r="H50" i="3"/>
  <c r="D51" i="3"/>
  <c r="E51" i="3"/>
  <c r="G51" i="3"/>
  <c r="H51" i="3"/>
  <c r="D52" i="3"/>
  <c r="E52" i="3"/>
  <c r="G52" i="3"/>
  <c r="H52" i="3"/>
  <c r="D53" i="3"/>
  <c r="E53" i="3"/>
  <c r="G53" i="3"/>
  <c r="H53" i="3"/>
  <c r="D54" i="3"/>
  <c r="E54" i="3"/>
  <c r="G54" i="3"/>
  <c r="H54" i="3"/>
  <c r="D55" i="3"/>
  <c r="E55" i="3"/>
  <c r="G55" i="3"/>
  <c r="H55" i="3"/>
  <c r="D56" i="3"/>
  <c r="E56" i="3"/>
  <c r="G56" i="3"/>
  <c r="H56" i="3"/>
  <c r="D57" i="3"/>
  <c r="E57" i="3"/>
  <c r="G57" i="3"/>
  <c r="H57" i="3"/>
  <c r="D58" i="3"/>
  <c r="E58" i="3"/>
  <c r="G58" i="3"/>
  <c r="H58" i="3"/>
  <c r="D59" i="3"/>
  <c r="E59" i="3"/>
  <c r="G59" i="3"/>
  <c r="H59" i="3"/>
  <c r="D60" i="3"/>
  <c r="E60" i="3"/>
  <c r="G60" i="3"/>
  <c r="H60" i="3"/>
  <c r="D61" i="3"/>
  <c r="E61" i="3"/>
  <c r="G61" i="3"/>
  <c r="H61" i="3"/>
  <c r="D62" i="3"/>
  <c r="E62" i="3"/>
  <c r="G62" i="3"/>
  <c r="H62" i="3"/>
  <c r="D63" i="3"/>
  <c r="E63" i="3"/>
  <c r="G63" i="3"/>
  <c r="H63" i="3"/>
  <c r="D64" i="3"/>
  <c r="E64" i="3"/>
  <c r="G64" i="3"/>
  <c r="H64" i="3"/>
  <c r="D65" i="3"/>
  <c r="E65" i="3"/>
  <c r="G65" i="3"/>
  <c r="H65" i="3"/>
  <c r="D66" i="3"/>
  <c r="E66" i="3"/>
  <c r="G66" i="3"/>
  <c r="H66" i="3"/>
  <c r="D67" i="3"/>
  <c r="E67" i="3"/>
  <c r="G67" i="3"/>
  <c r="H67" i="3"/>
  <c r="B1" i="1"/>
  <c r="B3" i="1"/>
  <c r="B4" i="1"/>
  <c r="K5" i="1"/>
  <c r="AD5" i="1"/>
  <c r="D7" i="1"/>
  <c r="E7" i="1"/>
  <c r="G7" i="1"/>
  <c r="E16" i="4"/>
  <c r="G7" i="18" l="1"/>
  <c r="R5" i="18"/>
  <c r="A8" i="18" s="1"/>
  <c r="R9" i="18"/>
  <c r="D8" i="18" s="1"/>
  <c r="F19" i="4"/>
  <c r="F12" i="4"/>
  <c r="F10" i="14"/>
  <c r="F9" i="14"/>
  <c r="G9" i="5"/>
  <c r="I9" i="5" s="1"/>
  <c r="H9" i="5" s="1"/>
  <c r="H17" i="14"/>
  <c r="D26" i="14"/>
  <c r="F27" i="14"/>
  <c r="G25" i="14"/>
  <c r="F7" i="4"/>
  <c r="F26" i="14"/>
  <c r="K5" i="2"/>
  <c r="F14" i="5"/>
  <c r="F6" i="5"/>
  <c r="E18" i="14"/>
  <c r="G10" i="5"/>
  <c r="I10" i="5" s="1"/>
  <c r="H10" i="5" s="1"/>
  <c r="G6" i="5"/>
  <c r="I6" i="5" s="1"/>
  <c r="H6" i="5" s="1"/>
  <c r="F22" i="14"/>
  <c r="F14" i="4"/>
  <c r="F20" i="14"/>
  <c r="D11" i="14"/>
  <c r="G7" i="14"/>
  <c r="F7" i="14"/>
  <c r="D7" i="14"/>
  <c r="H7" i="14"/>
  <c r="I7" i="14" s="1"/>
  <c r="E7" i="14"/>
  <c r="D15" i="14"/>
  <c r="E15" i="14"/>
  <c r="G15" i="14"/>
  <c r="H15" i="14"/>
  <c r="I15" i="14" s="1"/>
  <c r="F15" i="14"/>
  <c r="F5" i="14"/>
  <c r="D5" i="14"/>
  <c r="G5" i="14"/>
  <c r="H5" i="14"/>
  <c r="E5" i="14"/>
  <c r="F4" i="14"/>
  <c r="G4" i="14"/>
  <c r="D4" i="14"/>
  <c r="H4" i="14"/>
  <c r="E4" i="14"/>
  <c r="F8" i="14"/>
  <c r="H8" i="14"/>
  <c r="E8" i="14"/>
  <c r="G8" i="14"/>
  <c r="D8" i="14"/>
  <c r="G23" i="14"/>
  <c r="E23" i="14"/>
  <c r="F23" i="14"/>
  <c r="H23" i="14"/>
  <c r="D23" i="14"/>
  <c r="G13" i="14"/>
  <c r="H13" i="14"/>
  <c r="I13" i="14" s="1"/>
  <c r="E13" i="14"/>
  <c r="F13" i="14"/>
  <c r="D13" i="14"/>
  <c r="D21" i="14"/>
  <c r="E21" i="14"/>
  <c r="H21" i="14"/>
  <c r="G21" i="14"/>
  <c r="F21" i="14"/>
  <c r="G10" i="14"/>
  <c r="I10" i="14" s="1"/>
  <c r="F7" i="5"/>
  <c r="D18" i="14"/>
  <c r="H22" i="14"/>
  <c r="E24" i="14"/>
  <c r="F12" i="14"/>
  <c r="G15" i="5"/>
  <c r="I15" i="5" s="1"/>
  <c r="H15" i="5" s="1"/>
  <c r="E14" i="14"/>
  <c r="E10" i="14"/>
  <c r="G18" i="14"/>
  <c r="D19" i="14"/>
  <c r="G5" i="5"/>
  <c r="I5" i="5" s="1"/>
  <c r="H5" i="5" s="1"/>
  <c r="H25" i="14"/>
  <c r="I25" i="14" s="1"/>
  <c r="G17" i="14"/>
  <c r="I17" i="14" s="1"/>
  <c r="F4" i="5"/>
  <c r="H12" i="14"/>
  <c r="I12" i="14" s="1"/>
  <c r="G24" i="14"/>
  <c r="E19" i="14"/>
  <c r="E26" i="14"/>
  <c r="E17" i="14"/>
  <c r="F18" i="14"/>
  <c r="D6" i="14"/>
  <c r="F5" i="5"/>
  <c r="D16" i="14"/>
  <c r="F17" i="14"/>
  <c r="D24" i="14"/>
  <c r="E25" i="14"/>
  <c r="G19" i="14"/>
  <c r="H19" i="14"/>
  <c r="F9" i="5"/>
  <c r="H24" i="14"/>
  <c r="D27" i="14"/>
  <c r="F11" i="14"/>
  <c r="G16" i="5"/>
  <c r="I16" i="5" s="1"/>
  <c r="H16" i="5" s="1"/>
  <c r="H14" i="14"/>
  <c r="I14" i="14" s="1"/>
  <c r="G16" i="14"/>
  <c r="F8" i="5"/>
  <c r="F25" i="14"/>
  <c r="G27" i="14"/>
  <c r="E6" i="14"/>
  <c r="G11" i="14"/>
  <c r="E27" i="14"/>
  <c r="D17" i="14"/>
  <c r="G13" i="5"/>
  <c r="I13" i="5" s="1"/>
  <c r="H13" i="5" s="1"/>
  <c r="E12" i="14"/>
  <c r="G8" i="5"/>
  <c r="I8" i="5" s="1"/>
  <c r="H8" i="5" s="1"/>
  <c r="F13" i="5"/>
  <c r="G4" i="5"/>
  <c r="I4" i="5" s="1"/>
  <c r="H4" i="5" s="1"/>
  <c r="E11" i="14"/>
  <c r="H16" i="14"/>
  <c r="I16" i="14" s="1"/>
  <c r="E16" i="14"/>
  <c r="H11" i="14"/>
  <c r="I11" i="14" s="1"/>
  <c r="H6" i="14"/>
  <c r="I6" i="14" s="1"/>
  <c r="F24" i="14"/>
  <c r="F16" i="5"/>
  <c r="G7" i="5"/>
  <c r="I7" i="5" s="1"/>
  <c r="H7" i="5" s="1"/>
  <c r="H27" i="14"/>
  <c r="I27" i="14" s="1"/>
  <c r="H26" i="14"/>
  <c r="G6" i="14"/>
  <c r="D14" i="14"/>
  <c r="F19" i="14"/>
  <c r="G9" i="14"/>
  <c r="D22" i="14"/>
  <c r="F15" i="5"/>
  <c r="F10" i="5"/>
  <c r="D12" i="14"/>
  <c r="F15" i="4"/>
  <c r="H9" i="14"/>
  <c r="H18" i="14"/>
  <c r="I18" i="14" s="1"/>
  <c r="E20" i="14"/>
  <c r="D20" i="14"/>
  <c r="G14" i="14"/>
  <c r="E9" i="14"/>
  <c r="G14" i="5"/>
  <c r="I14" i="5" s="1"/>
  <c r="H14" i="5" s="1"/>
  <c r="G22" i="14"/>
  <c r="E22" i="14"/>
  <c r="D10" i="14"/>
  <c r="D25" i="14"/>
  <c r="G26" i="14"/>
  <c r="D9" i="14"/>
  <c r="H20" i="14"/>
  <c r="G20" i="14"/>
  <c r="I20" i="14" l="1"/>
  <c r="I5" i="14"/>
  <c r="I23" i="14"/>
  <c r="I9" i="14"/>
  <c r="I22" i="14"/>
  <c r="I21" i="14"/>
  <c r="I19" i="14"/>
  <c r="E29" i="14"/>
  <c r="I8" i="14"/>
  <c r="I4" i="14"/>
  <c r="H29" i="14"/>
  <c r="I26" i="14"/>
  <c r="D29" i="14"/>
  <c r="G29" i="14"/>
  <c r="F29" i="14"/>
  <c r="I24" i="14"/>
</calcChain>
</file>

<file path=xl/sharedStrings.xml><?xml version="1.0" encoding="utf-8"?>
<sst xmlns="http://schemas.openxmlformats.org/spreadsheetml/2006/main" count="390" uniqueCount="250">
  <si>
    <t>Report Suite</t>
  </si>
  <si>
    <t>canadapostca-global</t>
  </si>
  <si>
    <t>yearID</t>
  </si>
  <si>
    <t>monthID</t>
  </si>
  <si>
    <t>dayID</t>
  </si>
  <si>
    <t>Date From</t>
  </si>
  <si>
    <t>Date To</t>
  </si>
  <si>
    <t>Search Terms</t>
  </si>
  <si>
    <t>D-O-W</t>
  </si>
  <si>
    <t>weekID</t>
  </si>
  <si>
    <t>dateID</t>
  </si>
  <si>
    <t>Metrics</t>
  </si>
  <si>
    <t>Site: Visits</t>
  </si>
  <si>
    <t>Site: Page Views</t>
  </si>
  <si>
    <t>Traffic: Site Section 1</t>
  </si>
  <si>
    <t>Traffic: Site Section 2</t>
  </si>
  <si>
    <t>Conversion: Site Section 1</t>
  </si>
  <si>
    <t>Conversion Events</t>
  </si>
  <si>
    <t>This Period</t>
  </si>
  <si>
    <t>Last Period</t>
  </si>
  <si>
    <t>% Change</t>
  </si>
  <si>
    <t>YTD</t>
  </si>
  <si>
    <t>Month Name</t>
  </si>
  <si>
    <t>Year</t>
  </si>
  <si>
    <t>Unique Visitors</t>
  </si>
  <si>
    <t>Visits</t>
  </si>
  <si>
    <t>Page Views</t>
  </si>
  <si>
    <t>ss1</t>
  </si>
  <si>
    <t>ss2</t>
  </si>
  <si>
    <t>Site Section Visits</t>
  </si>
  <si>
    <t>cpc.ca: shop</t>
  </si>
  <si>
    <t>cpc.ca: shop &gt; business</t>
  </si>
  <si>
    <t>cpc.ca: shop &gt; commercial</t>
  </si>
  <si>
    <t>cpc.ca: shop &gt; personal</t>
  </si>
  <si>
    <t>cpc.ca: shop &gt; collecting</t>
  </si>
  <si>
    <t>Site: Revenue</t>
  </si>
  <si>
    <t>Site: Units</t>
  </si>
  <si>
    <t>Shop: Checkouts</t>
  </si>
  <si>
    <t>Shop: Carts</t>
  </si>
  <si>
    <t>Shop: Cart Additions</t>
  </si>
  <si>
    <t>Shop: Cart Removals</t>
  </si>
  <si>
    <t>Month</t>
  </si>
  <si>
    <t>Revenue</t>
  </si>
  <si>
    <t>Orders</t>
  </si>
  <si>
    <t>Units</t>
  </si>
  <si>
    <t>Checkouts</t>
  </si>
  <si>
    <t>Carts</t>
  </si>
  <si>
    <t>Total</t>
  </si>
  <si>
    <t>site</t>
  </si>
  <si>
    <t>cpc.ca</t>
  </si>
  <si>
    <t>Traffic: CanadaPost.ca Total</t>
  </si>
  <si>
    <t>basic page</t>
  </si>
  <si>
    <t>cpc.ca: shop &gt; checkout &gt; address information</t>
  </si>
  <si>
    <t>cpc.ca: shop &gt; checkout &gt; shipping options</t>
  </si>
  <si>
    <t>cpc.ca: shop &gt; checkout &gt; payment options</t>
  </si>
  <si>
    <t>cpc.ca: shop &gt; checkout &gt; place order</t>
  </si>
  <si>
    <t>cpc.ca: shop &gt; checkout &gt; order confirmation</t>
  </si>
  <si>
    <t>Basic Page</t>
  </si>
  <si>
    <t>Step1</t>
  </si>
  <si>
    <t>Step2</t>
  </si>
  <si>
    <t>Step3</t>
  </si>
  <si>
    <t>Step4</t>
  </si>
  <si>
    <t>Complete</t>
  </si>
  <si>
    <t>Fallout Report Data - All Stores</t>
  </si>
  <si>
    <t>List Num</t>
  </si>
  <si>
    <t>DateID</t>
  </si>
  <si>
    <t>Site: Orders</t>
  </si>
  <si>
    <t>Conversion Events: Organic Search</t>
  </si>
  <si>
    <t>Conversion Events: Paid Search</t>
  </si>
  <si>
    <t>% Revenue</t>
  </si>
  <si>
    <t>% Orders</t>
  </si>
  <si>
    <t>Conversion Events: Mobile</t>
  </si>
  <si>
    <t>ORGANIC SEARCH</t>
  </si>
  <si>
    <t>PAID SEARCH</t>
  </si>
  <si>
    <t>MOBILE</t>
  </si>
  <si>
    <t>Shop: Order</t>
  </si>
  <si>
    <t>Natural Search Keyword</t>
  </si>
  <si>
    <t>canada post tracking</t>
  </si>
  <si>
    <t>venture one</t>
  </si>
  <si>
    <t>www.canadapost.ca</t>
  </si>
  <si>
    <t>postes canada</t>
  </si>
  <si>
    <t>canada post</t>
  </si>
  <si>
    <t>poste canada</t>
  </si>
  <si>
    <t>postes</t>
  </si>
  <si>
    <t>canadapost</t>
  </si>
  <si>
    <t>canadapost.ca</t>
  </si>
  <si>
    <t>canada post coins</t>
  </si>
  <si>
    <t>canada post stamps</t>
  </si>
  <si>
    <t>::unspecified::</t>
  </si>
  <si>
    <t>post canada</t>
  </si>
  <si>
    <t>::empty::</t>
  </si>
  <si>
    <t>canada post office</t>
  </si>
  <si>
    <t>Searches</t>
  </si>
  <si>
    <t>Column1</t>
  </si>
  <si>
    <t>canadapost.ca/shop</t>
  </si>
  <si>
    <t>canadian post</t>
  </si>
  <si>
    <t>canada post shopping</t>
  </si>
  <si>
    <t>canadian stamps</t>
  </si>
  <si>
    <t>www.canadapost.ca/shop</t>
  </si>
  <si>
    <t>canada stamps</t>
  </si>
  <si>
    <t>postecanada</t>
  </si>
  <si>
    <t>canada post store</t>
  </si>
  <si>
    <t>canada post\</t>
  </si>
  <si>
    <t>canada post buy stamps</t>
  </si>
  <si>
    <t>postcanada</t>
  </si>
  <si>
    <t>postescanada.ca</t>
  </si>
  <si>
    <t>canada post collectors shop</t>
  </si>
  <si>
    <t>post office canada</t>
  </si>
  <si>
    <t>canadapost.com</t>
  </si>
  <si>
    <t>canada post coin sets</t>
  </si>
  <si>
    <t>canada post.ca</t>
  </si>
  <si>
    <t>postescanada.ca/achat</t>
  </si>
  <si>
    <t>canada post.ca/shop</t>
  </si>
  <si>
    <t>canadapost shopping</t>
  </si>
  <si>
    <t>canada poost</t>
  </si>
  <si>
    <t>canada post stamp collecting</t>
  </si>
  <si>
    <t>post office</t>
  </si>
  <si>
    <t>canada post products</t>
  </si>
  <si>
    <t>canadapost.ca queen</t>
  </si>
  <si>
    <t>canada postage</t>
  </si>
  <si>
    <t>canada post cfl</t>
  </si>
  <si>
    <t>national philatelic centre</t>
  </si>
  <si>
    <t>site:canadapost.ca canada post</t>
  </si>
  <si>
    <t>la poste canada</t>
  </si>
  <si>
    <t>postecanada.ca</t>
  </si>
  <si>
    <t>canada post coins for sale</t>
  </si>
  <si>
    <t>canada postal code</t>
  </si>
  <si>
    <t>canada post&lt;</t>
  </si>
  <si>
    <t>www.postescanada.ca/achat</t>
  </si>
  <si>
    <t>postes canada timbres</t>
  </si>
  <si>
    <t>welcome to the world coin 2012</t>
  </si>
  <si>
    <t>postescanada</t>
  </si>
  <si>
    <t>canada post roughrider</t>
  </si>
  <si>
    <t>canada post grey cup</t>
  </si>
  <si>
    <t>canadapost.ca/quickorder</t>
  </si>
  <si>
    <t>canadapost/cfl roughriders</t>
  </si>
  <si>
    <t>canada posr</t>
  </si>
  <si>
    <t>canada post rates</t>
  </si>
  <si>
    <t>special edition uncirculated set (2012)</t>
  </si>
  <si>
    <t>canada post shopping online</t>
  </si>
  <si>
    <t>canadian postage stamps online</t>
  </si>
  <si>
    <t>canada philatelic centre</t>
  </si>
  <si>
    <t>canada post supertest</t>
  </si>
  <si>
    <t>timbres canadiens</t>
  </si>
  <si>
    <t>ship and click</t>
  </si>
  <si>
    <t>postal codes canada</t>
  </si>
  <si>
    <t>postage usa to canada</t>
  </si>
  <si>
    <t>canadian postal codes</t>
  </si>
  <si>
    <t>canada postal service</t>
  </si>
  <si>
    <t>canadapost.ca/cfl</t>
  </si>
  <si>
    <t>postal codes</t>
  </si>
  <si>
    <t>buy stamps online?</t>
  </si>
  <si>
    <t>mail stamps</t>
  </si>
  <si>
    <t>canadapost.cashop</t>
  </si>
  <si>
    <t>barrie post office</t>
  </si>
  <si>
    <t>venture one my business profile</t>
  </si>
  <si>
    <t>postal code lookup fredericton</t>
  </si>
  <si>
    <t>shop canada post ca</t>
  </si>
  <si>
    <t>stamps@canadapost.ca</t>
  </si>
  <si>
    <t>prepaid regional express post envelopes</t>
  </si>
  <si>
    <t>poste canada achats timbre</t>
  </si>
  <si>
    <t>2012 special edition uncirculated set</t>
  </si>
  <si>
    <t>http://www.canadapost.ca/shop/collecting/collecting.jsf</t>
  </si>
  <si>
    <t>canada post coin set for baby 2012</t>
  </si>
  <si>
    <t>buying canadian postage online</t>
  </si>
  <si>
    <t>canada post fdc albums</t>
  </si>
  <si>
    <t>canada post cfl stamps</t>
  </si>
  <si>
    <t>buy canadian stamps in us</t>
  </si>
  <si>
    <t>how much is a canadian queen elizabeth stamp 2012</t>
  </si>
  <si>
    <t>canada post order stamps online</t>
  </si>
  <si>
    <t>canada post first day covers</t>
  </si>
  <si>
    <t>canada post log in</t>
  </si>
  <si>
    <t>canada  post cfl</t>
  </si>
  <si>
    <t>http //www.canadapost.ca/personal/ratesprices</t>
  </si>
  <si>
    <t>coil dispenser montreal alouettes</t>
  </si>
  <si>
    <t>postage costs to usa</t>
  </si>
  <si>
    <t>canada post memorabilia 100th grey cup</t>
  </si>
  <si>
    <t>cdn postal codes</t>
  </si>
  <si>
    <t>year of the snake - fine silver $10 coin (2013)</t>
  </si>
  <si>
    <t>January</t>
  </si>
  <si>
    <t>February</t>
  </si>
  <si>
    <t>March</t>
  </si>
  <si>
    <t>April</t>
  </si>
  <si>
    <t>May</t>
  </si>
  <si>
    <t>June</t>
  </si>
  <si>
    <t>July</t>
  </si>
  <si>
    <t>August</t>
  </si>
  <si>
    <t>September</t>
  </si>
  <si>
    <t>October</t>
  </si>
  <si>
    <t>November</t>
  </si>
  <si>
    <t>December</t>
  </si>
  <si>
    <t>Visits from Marketing</t>
  </si>
  <si>
    <t>Visits from Social Media</t>
  </si>
  <si>
    <t>Direct Traffic</t>
  </si>
  <si>
    <t>Marketing Spend</t>
  </si>
  <si>
    <t>Visits from Search Engines ( Organic)</t>
  </si>
  <si>
    <t>Social Media Spend</t>
  </si>
  <si>
    <t>Single View Visits</t>
  </si>
  <si>
    <r>
      <rPr>
        <b/>
        <sz val="10"/>
        <color theme="0" tint="-0.499984740745262"/>
        <rFont val="Arial"/>
        <family val="2"/>
      </rPr>
      <t>Reporting Period:</t>
    </r>
    <r>
      <rPr>
        <sz val="10"/>
        <color theme="0" tint="-0.499984740745262"/>
        <rFont val="Arial"/>
        <family val="2"/>
      </rPr>
      <t>January 2013 – 2014</t>
    </r>
  </si>
  <si>
    <r>
      <rPr>
        <b/>
        <sz val="10"/>
        <color theme="0" tint="-0.499984740745262"/>
        <rFont val="Arial"/>
        <family val="2"/>
      </rPr>
      <t>Data Source:</t>
    </r>
    <r>
      <rPr>
        <sz val="10"/>
        <color theme="0" tint="-0.499984740745262"/>
        <rFont val="Arial"/>
        <family val="2"/>
      </rPr>
      <t xml:space="preserve"> Internal Web Analytics &amp; Marketing Performance Data</t>
    </r>
  </si>
  <si>
    <r>
      <rPr>
        <b/>
        <sz val="10"/>
        <color theme="0" tint="-0.499984740745262"/>
        <rFont val="Arial"/>
        <family val="2"/>
      </rPr>
      <t>Purpose:</t>
    </r>
    <r>
      <rPr>
        <sz val="10"/>
        <color theme="0" tint="-0.499984740745262"/>
        <rFont val="Arial"/>
        <family val="2"/>
      </rPr>
      <t xml:space="preserve"> Provide eCommerce managers with a concise view of revenue performance, funnel efficiency, and channel contribution.</t>
    </r>
  </si>
  <si>
    <t>eCommerce Channel Performance Executive Dashboard</t>
  </si>
  <si>
    <t>Conversion Rate</t>
  </si>
  <si>
    <t>Cart Abandonment Rate</t>
  </si>
  <si>
    <t>Avg Units per Order</t>
  </si>
  <si>
    <t>vs prior year</t>
  </si>
  <si>
    <t>Stage</t>
  </si>
  <si>
    <t>Volume</t>
  </si>
  <si>
    <t>Column2</t>
  </si>
  <si>
    <t>Channel</t>
  </si>
  <si>
    <t>Share (%)</t>
  </si>
  <si>
    <t>Organic Search</t>
  </si>
  <si>
    <t>Marketing</t>
  </si>
  <si>
    <t>Social Media</t>
  </si>
  <si>
    <t>Direct</t>
  </si>
  <si>
    <t>Spend Overview</t>
  </si>
  <si>
    <t>While cart creation remains strong, a noticeable drop occurs between checkout and order completion, indicating friction in the final stages of the purchase funnel.</t>
  </si>
  <si>
    <t>Key Insights</t>
  </si>
  <si>
    <t>• Revenue and orders show strong year-over-year growth, supported by increasing traffic and larger basket sizes.</t>
  </si>
  <si>
    <t>• Funnel performance remains inconsistent, with the largest drop occurring between checkout and order completion.</t>
  </si>
  <si>
    <t>• Channel mix is shifting toward social media while marketing spend continues to rise.</t>
  </si>
  <si>
    <t>Recommendations</t>
  </si>
  <si>
    <r>
      <t>•</t>
    </r>
    <r>
      <rPr>
        <b/>
        <sz val="10"/>
        <rFont val="Arial"/>
        <family val="2"/>
      </rPr>
      <t xml:space="preserve"> Short-term</t>
    </r>
    <r>
      <rPr>
        <sz val="10"/>
        <rFont val="Arial"/>
        <family val="2"/>
      </rPr>
      <t>: Simplify checkout flow and reduce friction in the final purchase steps.</t>
    </r>
  </si>
  <si>
    <r>
      <t xml:space="preserve">• </t>
    </r>
    <r>
      <rPr>
        <b/>
        <sz val="10"/>
        <rFont val="Arial"/>
        <family val="2"/>
      </rPr>
      <t>Medium-term</t>
    </r>
    <r>
      <rPr>
        <sz val="10"/>
        <rFont val="Arial"/>
        <family val="2"/>
      </rPr>
      <t>: Rebalance marketing investment based on channel performance and conversion efficiency.</t>
    </r>
  </si>
  <si>
    <r>
      <t xml:space="preserve">• </t>
    </r>
    <r>
      <rPr>
        <b/>
        <sz val="10"/>
        <rFont val="Arial"/>
        <family val="2"/>
      </rPr>
      <t>Long-term</t>
    </r>
    <r>
      <rPr>
        <sz val="10"/>
        <rFont val="Arial"/>
        <family val="2"/>
      </rPr>
      <t>: Invest in conversion rate optimization and personalization to stabilize and improve funnel performance.</t>
    </r>
  </si>
  <si>
    <t>2014 Total Revenue</t>
  </si>
  <si>
    <t>2013 Total Revenue</t>
  </si>
  <si>
    <t>Revenue YoY % Change</t>
  </si>
  <si>
    <t>2014 Total Orders</t>
  </si>
  <si>
    <t>2013 Total Orders</t>
  </si>
  <si>
    <t>Orders YoY % Change</t>
  </si>
  <si>
    <t>2014 Conversion Rate</t>
  </si>
  <si>
    <t>2014 Cart Abandontment Rate</t>
  </si>
  <si>
    <t>2014 Avg Units per Order</t>
  </si>
  <si>
    <t>Opportunity to improve</t>
  </si>
  <si>
    <t>Increasing YoY</t>
  </si>
  <si>
    <t>How is revenue performing?</t>
  </si>
  <si>
    <t>Is conversion healthy?</t>
  </si>
  <si>
    <t>Where is the funnel breaking?</t>
  </si>
  <si>
    <t>Where does traffic come from?</t>
  </si>
  <si>
    <t>What should we do next?</t>
  </si>
  <si>
    <t>Organic search remains the dominanttraffic source, while social media's share continues to increase alongside higher social investment.</t>
  </si>
  <si>
    <t>Revenue increased by 27.1% year over year, driven by higher traffic and increased units per order.</t>
  </si>
  <si>
    <t>The cart-to-order conversion rate in 2014 is strong at 23.3%, indicating solid purchase intent once items are added to the cart. However, continued drop-off during checkout suggests there is still opportunity to improve funnel efficiency.</t>
  </si>
  <si>
    <t>The funnel breaks most significantly between checkout and order completion, where a large portion of users abandon the process, indicating friction in the final purchase steps.</t>
  </si>
  <si>
    <t>Traffic is primarily driven by organic search, which remains the dominant channel, followed by marketing and direct traffic. Social media contributes a smaller but growing share, reflecting increased investment in that channel.</t>
  </si>
  <si>
    <t>Next steps should focus on improving checkout completion and optimizing marketing investment. In the short term, simplifying the checkout process can reduce abandonment. Over the medium term, marketing spend should be reallocated toward higher-performing channels. In the long term, investment in conversion rate optimization and personalization will help improve efficiency and sustain revenue growth. While marketing spend has contributed to revenue growth, improving efficiency and conversion will maximize returns.</t>
  </si>
  <si>
    <t>KPI Calculations (Helper Area)</t>
  </si>
  <si>
    <t>Executive Summary</t>
  </si>
  <si>
    <t>Revenue increased by 27.1% year over year, driven by growing traffic and a healthy cart-to-order conversion rate of 23.3%. However, checkout drop-off and rising marketing spend highlight the need to improve funnel efficiency and optimize marketing investment to sustain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</si>
</sst>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quot;$&quot;* #,##0.00_-;\-&quot;$&quot;* #,##0.00_-;_-&quot;$&quot;* &quot;-&quot;??_-;_-@_-"/>
    <numFmt numFmtId="165" formatCode="[$-409]yyyy/mm/dd"/>
    <numFmt numFmtId="166" formatCode="mmm\ dd\,\ yyyy"/>
    <numFmt numFmtId="167" formatCode="&quot;$&quot;#,##0"/>
    <numFmt numFmtId="168" formatCode="&quot;$&quot;#,##0.00"/>
    <numFmt numFmtId="169" formatCode="mmm\ yyyy"/>
    <numFmt numFmtId="170" formatCode="_-&quot;$&quot;* #,##0_-;\-&quot;$&quot;* #,##0_-;_-&quot;$&quot;* &quot;-&quot;??_-;_-@_-"/>
    <numFmt numFmtId="171" formatCode="0.0%"/>
    <numFmt numFmtId="172" formatCode="0.0"/>
    <numFmt numFmtId="173" formatCode="_(* #,##0_);_(* \(#,##0\);_(* &quot;-&quot;??_);_(@_)"/>
  </numFmts>
  <fonts count="22" x14ac:knownFonts="1">
    <font>
      <sz val="10"/>
      <name val="Arial"/>
    </font>
    <font>
      <sz val="10"/>
      <name val="Arial"/>
    </font>
    <font>
      <b/>
      <sz val="10"/>
      <name val="Arial"/>
      <family val="2"/>
    </font>
    <font>
      <sz val="8"/>
      <name val="Arial"/>
    </font>
    <font>
      <b/>
      <u/>
      <sz val="8"/>
      <name val="Calibri"/>
      <family val="2"/>
    </font>
    <font>
      <u/>
      <sz val="8"/>
      <name val="Calibri"/>
      <family val="2"/>
    </font>
    <font>
      <sz val="8"/>
      <name val="Calibri"/>
      <family val="2"/>
    </font>
    <font>
      <sz val="6"/>
      <name val="Wingdings 3"/>
      <family val="1"/>
      <charset val="2"/>
    </font>
    <font>
      <sz val="10"/>
      <name val="Arial"/>
      <family val="2"/>
    </font>
    <font>
      <b/>
      <sz val="10"/>
      <name val="Arial"/>
    </font>
    <font>
      <b/>
      <sz val="12"/>
      <name val="Arial"/>
      <family val="2"/>
    </font>
    <font>
      <b/>
      <sz val="20"/>
      <name val="Arial"/>
      <family val="2"/>
    </font>
    <font>
      <b/>
      <sz val="20"/>
      <color theme="0" tint="-0.499984740745262"/>
      <name val="Arial"/>
      <family val="2"/>
    </font>
    <font>
      <sz val="11"/>
      <color theme="0" tint="-0.34998626667073579"/>
      <name val="Arial"/>
      <family val="2"/>
    </font>
    <font>
      <b/>
      <sz val="20"/>
      <color theme="1" tint="0.499984740745262"/>
      <name val="Arial"/>
      <family val="2"/>
    </font>
    <font>
      <sz val="11"/>
      <color theme="0" tint="-0.499984740745262"/>
      <name val="Arial"/>
      <family val="2"/>
    </font>
    <font>
      <b/>
      <sz val="10"/>
      <color theme="0" tint="-0.499984740745262"/>
      <name val="Arial"/>
      <family val="2"/>
    </font>
    <font>
      <sz val="10"/>
      <color theme="0" tint="-0.499984740745262"/>
      <name val="Arial"/>
      <family val="2"/>
    </font>
    <font>
      <sz val="14"/>
      <color theme="0" tint="-0.499984740745262"/>
      <name val="Arial"/>
      <family val="2"/>
    </font>
    <font>
      <sz val="10"/>
      <color rgb="FF00B050"/>
      <name val="Arial"/>
      <family val="2"/>
    </font>
    <font>
      <b/>
      <sz val="14"/>
      <color theme="1" tint="0.499984740745262"/>
      <name val="Arial"/>
      <family val="2"/>
    </font>
    <font>
      <b/>
      <sz val="12"/>
      <color theme="1" tint="0.499984740745262"/>
      <name val="Arial"/>
      <family val="2"/>
    </font>
  </fonts>
  <fills count="11">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10"/>
        <bgColor indexed="64"/>
      </patternFill>
    </fill>
    <fill>
      <patternFill patternType="solid">
        <fgColor indexed="52"/>
        <bgColor indexed="64"/>
      </patternFill>
    </fill>
    <fill>
      <patternFill patternType="solid">
        <fgColor indexed="51"/>
        <bgColor indexed="64"/>
      </patternFill>
    </fill>
    <fill>
      <patternFill patternType="solid">
        <fgColor indexed="57"/>
        <bgColor indexed="64"/>
      </patternFill>
    </fill>
    <fill>
      <patternFill patternType="solid">
        <fgColor theme="0" tint="-4.9989318521683403E-2"/>
        <bgColor indexed="64"/>
      </patternFill>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17">
    <xf numFmtId="0" fontId="0" fillId="0" borderId="0" xfId="0"/>
    <xf numFmtId="0" fontId="2" fillId="0" borderId="0" xfId="0" applyFont="1"/>
    <xf numFmtId="0" fontId="2" fillId="0" borderId="0" xfId="0" applyFont="1" applyAlignment="1">
      <alignment horizontal="right"/>
    </xf>
    <xf numFmtId="0" fontId="0" fillId="2" borderId="0" xfId="0" applyFill="1"/>
    <xf numFmtId="14" fontId="0" fillId="0" borderId="0" xfId="0" applyNumberFormat="1" applyAlignment="1">
      <alignment horizontal="left"/>
    </xf>
    <xf numFmtId="165" fontId="0" fillId="0" borderId="0" xfId="0" applyNumberFormat="1"/>
    <xf numFmtId="0" fontId="0" fillId="0" borderId="0" xfId="0" applyAlignment="1">
      <alignment horizontal="right"/>
    </xf>
    <xf numFmtId="1" fontId="0" fillId="0" borderId="0" xfId="0" applyNumberFormat="1"/>
    <xf numFmtId="3" fontId="0" fillId="0" borderId="0" xfId="0" applyNumberFormat="1"/>
    <xf numFmtId="0" fontId="2" fillId="3" borderId="0" xfId="0" applyFont="1" applyFill="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0" xfId="0" applyFill="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166" fontId="0" fillId="0" borderId="0" xfId="0" applyNumberFormat="1"/>
    <xf numFmtId="0" fontId="4" fillId="4" borderId="0" xfId="0" applyFont="1" applyFill="1"/>
    <xf numFmtId="0" fontId="4" fillId="4" borderId="0" xfId="0" applyFont="1" applyFill="1" applyAlignment="1">
      <alignment horizontal="right"/>
    </xf>
    <xf numFmtId="0" fontId="6" fillId="4" borderId="0" xfId="0" applyFont="1" applyFill="1"/>
    <xf numFmtId="10" fontId="6" fillId="4" borderId="0" xfId="0" applyNumberFormat="1" applyFont="1" applyFill="1"/>
    <xf numFmtId="3" fontId="6" fillId="4" borderId="0" xfId="0" applyNumberFormat="1" applyFont="1" applyFill="1"/>
    <xf numFmtId="0" fontId="0" fillId="2" borderId="0" xfId="0" applyFill="1" applyAlignment="1">
      <alignment horizontal="center"/>
    </xf>
    <xf numFmtId="0" fontId="2"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0" fontId="4" fillId="4" borderId="0" xfId="0" applyFont="1" applyFill="1" applyAlignment="1">
      <alignment horizontal="center"/>
    </xf>
    <xf numFmtId="10" fontId="6" fillId="4" borderId="0" xfId="0" applyNumberFormat="1" applyFont="1" applyFill="1" applyAlignment="1">
      <alignment horizontal="center"/>
    </xf>
    <xf numFmtId="0" fontId="5" fillId="4" borderId="0" xfId="0" applyFont="1" applyFill="1" applyAlignment="1">
      <alignment horizontal="center"/>
    </xf>
    <xf numFmtId="0" fontId="7" fillId="4" borderId="0" xfId="0" applyFont="1" applyFill="1" applyAlignment="1">
      <alignment horizontal="center"/>
    </xf>
    <xf numFmtId="0" fontId="8" fillId="0" borderId="0" xfId="0" applyFont="1"/>
    <xf numFmtId="0" fontId="8" fillId="2" borderId="0" xfId="0" applyFont="1" applyFill="1"/>
    <xf numFmtId="165" fontId="8" fillId="0" borderId="0" xfId="0" applyNumberFormat="1" applyFont="1"/>
    <xf numFmtId="167" fontId="6" fillId="4" borderId="0" xfId="0" applyNumberFormat="1" applyFont="1" applyFill="1"/>
    <xf numFmtId="167" fontId="0" fillId="0" borderId="0" xfId="0" applyNumberFormat="1"/>
    <xf numFmtId="0" fontId="0" fillId="0" borderId="0" xfId="0" applyAlignment="1">
      <alignment horizontal="left"/>
    </xf>
    <xf numFmtId="0" fontId="2" fillId="2" borderId="0" xfId="0" applyFont="1" applyFill="1" applyAlignment="1">
      <alignment horizontal="left"/>
    </xf>
    <xf numFmtId="0" fontId="2" fillId="2" borderId="0" xfId="0" applyFont="1" applyFill="1" applyAlignment="1">
      <alignment horizontal="right"/>
    </xf>
    <xf numFmtId="10" fontId="0" fillId="0" borderId="0" xfId="0" applyNumberFormat="1"/>
    <xf numFmtId="168" fontId="0" fillId="0" borderId="0" xfId="0" applyNumberFormat="1"/>
    <xf numFmtId="169" fontId="0" fillId="0" borderId="0" xfId="0" applyNumberFormat="1" applyAlignment="1">
      <alignment horizontal="left"/>
    </xf>
    <xf numFmtId="0" fontId="2" fillId="5" borderId="0" xfId="0" applyFont="1" applyFill="1"/>
    <xf numFmtId="0" fontId="0" fillId="5" borderId="0" xfId="0" applyFill="1"/>
    <xf numFmtId="17" fontId="0" fillId="0" borderId="0" xfId="0" applyNumberFormat="1" applyAlignment="1">
      <alignment horizontal="right"/>
    </xf>
    <xf numFmtId="169" fontId="0" fillId="0" borderId="0" xfId="0" applyNumberFormat="1" applyAlignment="1">
      <alignment horizontal="right"/>
    </xf>
    <xf numFmtId="0" fontId="2" fillId="6" borderId="0" xfId="0" applyFont="1" applyFill="1"/>
    <xf numFmtId="0" fontId="0" fillId="6" borderId="0" xfId="0" applyFill="1"/>
    <xf numFmtId="0" fontId="0" fillId="2" borderId="0" xfId="0" applyFill="1" applyAlignment="1">
      <alignment horizontal="right"/>
    </xf>
    <xf numFmtId="0" fontId="9" fillId="0" borderId="0" xfId="0" applyFont="1" applyAlignment="1">
      <alignment horizontal="left"/>
    </xf>
    <xf numFmtId="0" fontId="9" fillId="0" borderId="0" xfId="0" applyFont="1" applyAlignment="1">
      <alignment horizontal="right"/>
    </xf>
    <xf numFmtId="9" fontId="0" fillId="0" borderId="0" xfId="0" applyNumberFormat="1"/>
    <xf numFmtId="170" fontId="0" fillId="0" borderId="0" xfId="1" applyNumberFormat="1" applyFont="1"/>
    <xf numFmtId="9" fontId="0" fillId="0" borderId="0" xfId="2" applyFont="1"/>
    <xf numFmtId="0" fontId="10" fillId="0" borderId="0" xfId="0" applyFont="1"/>
    <xf numFmtId="0" fontId="8" fillId="0" borderId="0" xfId="0" applyFont="1" applyAlignment="1">
      <alignment wrapText="1"/>
    </xf>
    <xf numFmtId="0" fontId="0" fillId="0" borderId="0" xfId="0" applyAlignment="1">
      <alignment wrapText="1"/>
    </xf>
    <xf numFmtId="0" fontId="0" fillId="10" borderId="0" xfId="0" applyFill="1"/>
    <xf numFmtId="0" fontId="8" fillId="10" borderId="8" xfId="0" applyFont="1" applyFill="1" applyBorder="1"/>
    <xf numFmtId="0" fontId="8" fillId="10" borderId="7" xfId="0" applyFont="1" applyFill="1" applyBorder="1"/>
    <xf numFmtId="0" fontId="8" fillId="10" borderId="6" xfId="0" applyFont="1" applyFill="1" applyBorder="1"/>
    <xf numFmtId="0" fontId="0" fillId="10" borderId="0" xfId="0" applyFill="1" applyAlignment="1">
      <alignment wrapText="1"/>
    </xf>
    <xf numFmtId="173" fontId="8" fillId="10" borderId="7" xfId="3" applyNumberFormat="1" applyFont="1" applyFill="1" applyBorder="1"/>
    <xf numFmtId="0" fontId="8" fillId="10" borderId="10" xfId="0" applyFont="1" applyFill="1" applyBorder="1"/>
    <xf numFmtId="9" fontId="0" fillId="10" borderId="11" xfId="0" applyNumberFormat="1" applyFill="1" applyBorder="1"/>
    <xf numFmtId="173" fontId="8" fillId="10" borderId="12" xfId="3" applyNumberFormat="1" applyFont="1" applyFill="1" applyBorder="1"/>
    <xf numFmtId="0" fontId="8" fillId="10" borderId="0" xfId="0" applyFont="1" applyFill="1"/>
    <xf numFmtId="0" fontId="8" fillId="10" borderId="13" xfId="0" applyFont="1" applyFill="1" applyBorder="1"/>
    <xf numFmtId="0" fontId="8" fillId="10" borderId="5" xfId="0" applyFont="1" applyFill="1" applyBorder="1"/>
    <xf numFmtId="173" fontId="8" fillId="10" borderId="0" xfId="3" applyNumberFormat="1" applyFont="1" applyFill="1" applyBorder="1"/>
    <xf numFmtId="0" fontId="8" fillId="10" borderId="9" xfId="0" applyFont="1" applyFill="1" applyBorder="1"/>
    <xf numFmtId="167" fontId="8" fillId="10" borderId="10" xfId="0" applyNumberFormat="1" applyFont="1" applyFill="1" applyBorder="1"/>
    <xf numFmtId="0" fontId="8" fillId="10" borderId="3" xfId="0" applyFont="1" applyFill="1" applyBorder="1"/>
    <xf numFmtId="9" fontId="0" fillId="10" borderId="1" xfId="0" applyNumberFormat="1" applyFill="1" applyBorder="1"/>
    <xf numFmtId="167" fontId="8" fillId="10" borderId="0" xfId="0" applyNumberFormat="1" applyFont="1" applyFill="1"/>
    <xf numFmtId="1" fontId="0" fillId="10" borderId="0" xfId="0" applyNumberFormat="1" applyFill="1"/>
    <xf numFmtId="171" fontId="0" fillId="10" borderId="0" xfId="0" applyNumberFormat="1" applyFill="1"/>
    <xf numFmtId="172" fontId="0" fillId="10" borderId="0" xfId="0" applyNumberFormat="1" applyFill="1"/>
    <xf numFmtId="0" fontId="10" fillId="0" borderId="0" xfId="0" applyFont="1" applyAlignment="1">
      <alignment wrapText="1"/>
    </xf>
    <xf numFmtId="0" fontId="2" fillId="7" borderId="0" xfId="0" applyFont="1" applyFill="1" applyAlignment="1">
      <alignment horizontal="center"/>
    </xf>
    <xf numFmtId="0" fontId="2" fillId="3" borderId="0" xfId="0" applyFont="1" applyFill="1" applyAlignment="1">
      <alignment horizontal="center"/>
    </xf>
    <xf numFmtId="0" fontId="2" fillId="8" borderId="0" xfId="0" applyFont="1" applyFill="1" applyAlignment="1">
      <alignment horizontal="center"/>
    </xf>
    <xf numFmtId="0" fontId="2" fillId="5" borderId="0" xfId="0" applyFont="1" applyFill="1" applyAlignment="1">
      <alignment horizontal="center"/>
    </xf>
    <xf numFmtId="0" fontId="2" fillId="0" borderId="0" xfId="0" applyFont="1" applyAlignment="1">
      <alignment horizontal="center"/>
    </xf>
    <xf numFmtId="0" fontId="2" fillId="10" borderId="0" xfId="0" applyFont="1" applyFill="1" applyAlignment="1">
      <alignment horizontal="center" vertical="center"/>
    </xf>
    <xf numFmtId="0" fontId="10" fillId="0" borderId="0" xfId="0" applyFont="1" applyAlignment="1">
      <alignment wrapText="1"/>
    </xf>
    <xf numFmtId="0" fontId="10" fillId="0" borderId="0" xfId="0" applyFont="1" applyAlignment="1">
      <alignment horizontal="left" vertical="center"/>
    </xf>
    <xf numFmtId="0" fontId="10" fillId="0" borderId="0" xfId="0" applyFont="1"/>
    <xf numFmtId="0" fontId="8" fillId="0" borderId="0" xfId="0" applyFont="1" applyAlignment="1">
      <alignment wrapText="1"/>
    </xf>
    <xf numFmtId="0" fontId="0" fillId="0" borderId="0" xfId="0" applyAlignment="1">
      <alignment wrapText="1"/>
    </xf>
    <xf numFmtId="0" fontId="2" fillId="0" borderId="0" xfId="0" applyFont="1"/>
    <xf numFmtId="0" fontId="10" fillId="10" borderId="0" xfId="0" applyFont="1" applyFill="1" applyAlignment="1">
      <alignment horizontal="center"/>
    </xf>
    <xf numFmtId="0" fontId="0" fillId="10" borderId="0" xfId="0" applyFill="1" applyAlignment="1">
      <alignment horizontal="center"/>
    </xf>
    <xf numFmtId="0" fontId="8" fillId="10" borderId="0" xfId="0" applyFont="1" applyFill="1" applyAlignment="1">
      <alignment wrapText="1"/>
    </xf>
    <xf numFmtId="0" fontId="0" fillId="10" borderId="0" xfId="0" applyFill="1" applyAlignment="1">
      <alignment wrapText="1"/>
    </xf>
    <xf numFmtId="0" fontId="0" fillId="9" borderId="0" xfId="0" applyFill="1" applyAlignment="1">
      <alignment horizontal="center"/>
    </xf>
    <xf numFmtId="0" fontId="10" fillId="9" borderId="0" xfId="0" applyFont="1" applyFill="1" applyAlignment="1">
      <alignment horizontal="center" vertical="center"/>
    </xf>
    <xf numFmtId="0" fontId="0" fillId="9" borderId="0" xfId="0" applyFill="1" applyAlignment="1">
      <alignment horizontal="center" vertical="center"/>
    </xf>
    <xf numFmtId="172" fontId="11" fillId="9" borderId="0" xfId="0" applyNumberFormat="1" applyFont="1" applyFill="1" applyAlignment="1">
      <alignment horizontal="center" vertical="center"/>
    </xf>
    <xf numFmtId="0" fontId="19" fillId="9" borderId="0" xfId="0" applyFont="1" applyFill="1" applyAlignment="1">
      <alignment horizontal="center" vertical="center"/>
    </xf>
    <xf numFmtId="171" fontId="11" fillId="9" borderId="0" xfId="0" applyNumberFormat="1" applyFont="1" applyFill="1" applyAlignment="1">
      <alignment horizontal="center" vertical="center"/>
    </xf>
    <xf numFmtId="167" fontId="11" fillId="9" borderId="0" xfId="0" applyNumberFormat="1" applyFont="1" applyFill="1" applyAlignment="1">
      <alignment horizontal="center" vertical="center"/>
    </xf>
    <xf numFmtId="167" fontId="0" fillId="9" borderId="0" xfId="0" applyNumberFormat="1" applyFill="1" applyAlignment="1">
      <alignment horizontal="center" vertical="center"/>
    </xf>
    <xf numFmtId="171" fontId="19" fillId="9" borderId="0" xfId="0" applyNumberFormat="1" applyFont="1" applyFill="1" applyAlignment="1">
      <alignment horizontal="center" vertical="center"/>
    </xf>
    <xf numFmtId="3" fontId="11" fillId="9" borderId="0" xfId="3" applyNumberFormat="1" applyFont="1" applyFill="1" applyAlignment="1">
      <alignment horizontal="center" vertical="center"/>
    </xf>
    <xf numFmtId="3" fontId="0" fillId="9" borderId="0" xfId="3" applyNumberFormat="1" applyFont="1" applyFill="1" applyAlignment="1">
      <alignment horizontal="center" vertical="center"/>
    </xf>
    <xf numFmtId="49" fontId="14" fillId="0" borderId="0" xfId="0" applyNumberFormat="1" applyFont="1"/>
    <xf numFmtId="49" fontId="12" fillId="0" borderId="0" xfId="0" applyNumberFormat="1" applyFont="1"/>
    <xf numFmtId="49" fontId="17" fillId="0" borderId="0" xfId="0" applyNumberFormat="1" applyFont="1"/>
    <xf numFmtId="49" fontId="13" fillId="0" borderId="0" xfId="0" applyNumberFormat="1" applyFont="1"/>
    <xf numFmtId="49" fontId="15" fillId="0" borderId="0" xfId="0" applyNumberFormat="1" applyFont="1"/>
    <xf numFmtId="49" fontId="18" fillId="0" borderId="0" xfId="0" applyNumberFormat="1" applyFont="1"/>
    <xf numFmtId="0" fontId="8" fillId="9" borderId="0" xfId="0" applyFont="1" applyFill="1" applyAlignment="1">
      <alignment horizontal="center" vertical="center"/>
    </xf>
    <xf numFmtId="0" fontId="20" fillId="0" borderId="0" xfId="0" applyFont="1" applyAlignment="1">
      <alignment horizontal="left" vertical="center"/>
    </xf>
    <xf numFmtId="0" fontId="21" fillId="0" borderId="0" xfId="0" applyFont="1" applyAlignment="1">
      <alignment wrapText="1"/>
    </xf>
  </cellXfs>
  <cellStyles count="4">
    <cellStyle name="Comma" xfId="3" builtinId="3"/>
    <cellStyle name="Currency" xfId="1" builtinId="4"/>
    <cellStyle name="Normal" xfId="0" builtinId="0"/>
    <cellStyle name="Percent" xfId="2" builtinId="5"/>
  </cellStyles>
  <dxfs count="24">
    <dxf>
      <font>
        <condense val="0"/>
        <extend val="0"/>
        <color indexed="10"/>
      </font>
    </dxf>
    <dxf>
      <font>
        <condense val="0"/>
        <extend val="0"/>
        <color indexed="17"/>
      </font>
    </dxf>
    <dxf>
      <font>
        <condense val="0"/>
        <extend val="0"/>
        <color indexed="10"/>
      </font>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medium">
          <color theme="0" tint="-0.14999847407452621"/>
        </left>
        <right/>
        <top style="medium">
          <color theme="0" tint="-0.14999847407452621"/>
        </top>
        <bottom style="medium">
          <color theme="0" tint="-0.14999847407452621"/>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right style="thin">
          <color indexed="64"/>
        </right>
        <top style="medium">
          <color theme="0" tint="-0.14999847407452621"/>
        </top>
        <bottom style="medium">
          <color theme="0" tint="-0.14999847407452621"/>
        </bottom>
      </border>
    </dxf>
    <dxf>
      <border>
        <top style="medium">
          <color theme="0" tint="-0.14999847407452621"/>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medium">
          <color theme="0" tint="-0.14999847407452621"/>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medium">
          <color theme="0" tint="-0.14999847407452621"/>
        </left>
        <right style="medium">
          <color theme="0" tint="-0.14999847407452621"/>
        </right>
        <top/>
        <bottom/>
      </border>
    </dxf>
    <dxf>
      <numFmt numFmtId="13" formatCode="0%"/>
      <fill>
        <patternFill patternType="solid">
          <fgColor indexed="64"/>
          <bgColor theme="0"/>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medium">
          <color theme="0" tint="-0.14999847407452621"/>
        </left>
        <right/>
        <top style="medium">
          <color theme="0" tint="-0.14999847407452621"/>
        </top>
        <bottom style="medium">
          <color theme="0" tint="-0.14999847407452621"/>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right style="thin">
          <color indexed="64"/>
        </right>
        <top style="medium">
          <color theme="0" tint="-0.14999847407452621"/>
        </top>
        <bottom style="medium">
          <color theme="0" tint="-0.14999847407452621"/>
        </bottom>
      </border>
    </dxf>
    <dxf>
      <border>
        <top style="medium">
          <color theme="0" tint="-0.14999847407452621"/>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medium">
          <color theme="0" tint="-0.14999847407452621"/>
        </left>
        <right style="medium">
          <color theme="0" tint="-0.149998474074526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a:t>Purchase Funnel Overview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Dashboard!$C$22</c:f>
              <c:strCache>
                <c:ptCount val="1"/>
                <c:pt idx="0">
                  <c:v>Volume</c:v>
                </c:pt>
              </c:strCache>
            </c:strRef>
          </c:tx>
          <c:spPr>
            <a:solidFill>
              <a:schemeClr val="bg1">
                <a:lumMod val="75000"/>
              </a:schemeClr>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AAE8-4BE3-A683-F686B6F14529}"/>
              </c:ext>
            </c:extLst>
          </c:dPt>
          <c:dPt>
            <c:idx val="2"/>
            <c:invertIfNegative val="0"/>
            <c:bubble3D val="0"/>
            <c:spPr>
              <a:solidFill>
                <a:srgbClr val="0070C0"/>
              </a:solidFill>
              <a:ln>
                <a:noFill/>
              </a:ln>
              <a:effectLst/>
            </c:spPr>
            <c:extLst>
              <c:ext xmlns:c16="http://schemas.microsoft.com/office/drawing/2014/chart" uri="{C3380CC4-5D6E-409C-BE32-E72D297353CC}">
                <c16:uniqueId val="{00000002-AAE8-4BE3-A683-F686B6F145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Dashboard!$B$23:$B$25</c:f>
              <c:strCache>
                <c:ptCount val="3"/>
                <c:pt idx="0">
                  <c:v>Carts</c:v>
                </c:pt>
                <c:pt idx="1">
                  <c:v>Checkouts</c:v>
                </c:pt>
                <c:pt idx="2">
                  <c:v>Orders</c:v>
                </c:pt>
              </c:strCache>
            </c:strRef>
          </c:cat>
          <c:val>
            <c:numRef>
              <c:f>Dashboard!$C$23:$C$25</c:f>
              <c:numCache>
                <c:formatCode>_(* #,##0_);_(* \(#,##0\);_(* "-"??_);_(@_)</c:formatCode>
                <c:ptCount val="3"/>
                <c:pt idx="0">
                  <c:v>136871</c:v>
                </c:pt>
                <c:pt idx="1">
                  <c:v>76860</c:v>
                </c:pt>
                <c:pt idx="2">
                  <c:v>31899</c:v>
                </c:pt>
              </c:numCache>
            </c:numRef>
          </c:val>
          <c:extLst>
            <c:ext xmlns:c16="http://schemas.microsoft.com/office/drawing/2014/chart" uri="{C3380CC4-5D6E-409C-BE32-E72D297353CC}">
              <c16:uniqueId val="{00000000-AAE8-4BE3-A683-F686B6F14529}"/>
            </c:ext>
          </c:extLst>
        </c:ser>
        <c:dLbls>
          <c:dLblPos val="outEnd"/>
          <c:showLegendKey val="0"/>
          <c:showVal val="1"/>
          <c:showCatName val="0"/>
          <c:showSerName val="0"/>
          <c:showPercent val="0"/>
          <c:showBubbleSize val="0"/>
        </c:dLbls>
        <c:gapWidth val="219"/>
        <c:overlap val="-27"/>
        <c:axId val="1758291471"/>
        <c:axId val="1758308271"/>
      </c:barChart>
      <c:catAx>
        <c:axId val="1758291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308271"/>
        <c:crosses val="autoZero"/>
        <c:auto val="1"/>
        <c:lblAlgn val="ctr"/>
        <c:lblOffset val="100"/>
        <c:noMultiLvlLbl val="0"/>
      </c:catAx>
      <c:valAx>
        <c:axId val="175830827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29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1"/>
              <a:t>Traffic Channel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Dashboard!$J$23</c:f>
              <c:strCache>
                <c:ptCount val="1"/>
                <c:pt idx="0">
                  <c:v>Organic Search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Dashboard!$K$22</c:f>
              <c:strCache>
                <c:ptCount val="1"/>
                <c:pt idx="0">
                  <c:v>Share (%)</c:v>
                </c:pt>
              </c:strCache>
            </c:strRef>
          </c:cat>
          <c:val>
            <c:numRef>
              <c:f>Dashboard!$K$23</c:f>
              <c:numCache>
                <c:formatCode>0%</c:formatCode>
                <c:ptCount val="1"/>
                <c:pt idx="0">
                  <c:v>0.51916666666666678</c:v>
                </c:pt>
              </c:numCache>
            </c:numRef>
          </c:val>
          <c:extLst>
            <c:ext xmlns:c16="http://schemas.microsoft.com/office/drawing/2014/chart" uri="{C3380CC4-5D6E-409C-BE32-E72D297353CC}">
              <c16:uniqueId val="{00000000-3B1B-4005-9F9D-27E4CBD4674E}"/>
            </c:ext>
          </c:extLst>
        </c:ser>
        <c:ser>
          <c:idx val="1"/>
          <c:order val="1"/>
          <c:tx>
            <c:strRef>
              <c:f>Dashboard!$J$24</c:f>
              <c:strCache>
                <c:ptCount val="1"/>
                <c:pt idx="0">
                  <c:v>Marketing</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Dashboard!$K$22</c:f>
              <c:strCache>
                <c:ptCount val="1"/>
                <c:pt idx="0">
                  <c:v>Share (%)</c:v>
                </c:pt>
              </c:strCache>
            </c:strRef>
          </c:cat>
          <c:val>
            <c:numRef>
              <c:f>Dashboard!$K$24</c:f>
              <c:numCache>
                <c:formatCode>0%</c:formatCode>
                <c:ptCount val="1"/>
                <c:pt idx="0">
                  <c:v>0.17749999999999999</c:v>
                </c:pt>
              </c:numCache>
            </c:numRef>
          </c:val>
          <c:extLst>
            <c:ext xmlns:c16="http://schemas.microsoft.com/office/drawing/2014/chart" uri="{C3380CC4-5D6E-409C-BE32-E72D297353CC}">
              <c16:uniqueId val="{00000001-3B1B-4005-9F9D-27E4CBD4674E}"/>
            </c:ext>
          </c:extLst>
        </c:ser>
        <c:ser>
          <c:idx val="2"/>
          <c:order val="2"/>
          <c:tx>
            <c:strRef>
              <c:f>Dashboard!$J$25</c:f>
              <c:strCache>
                <c:ptCount val="1"/>
                <c:pt idx="0">
                  <c:v>Social Media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Dashboard!$K$22</c:f>
              <c:strCache>
                <c:ptCount val="1"/>
                <c:pt idx="0">
                  <c:v>Share (%)</c:v>
                </c:pt>
              </c:strCache>
            </c:strRef>
          </c:cat>
          <c:val>
            <c:numRef>
              <c:f>Dashboard!$K$25</c:f>
              <c:numCache>
                <c:formatCode>0%</c:formatCode>
                <c:ptCount val="1"/>
                <c:pt idx="0">
                  <c:v>0.14666666666666664</c:v>
                </c:pt>
              </c:numCache>
            </c:numRef>
          </c:val>
          <c:extLst>
            <c:ext xmlns:c16="http://schemas.microsoft.com/office/drawing/2014/chart" uri="{C3380CC4-5D6E-409C-BE32-E72D297353CC}">
              <c16:uniqueId val="{00000002-3B1B-4005-9F9D-27E4CBD4674E}"/>
            </c:ext>
          </c:extLst>
        </c:ser>
        <c:ser>
          <c:idx val="3"/>
          <c:order val="3"/>
          <c:tx>
            <c:strRef>
              <c:f>Dashboard!$J$26</c:f>
              <c:strCache>
                <c:ptCount val="1"/>
                <c:pt idx="0">
                  <c:v>Direct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Dashboard!$K$22</c:f>
              <c:strCache>
                <c:ptCount val="1"/>
                <c:pt idx="0">
                  <c:v>Share (%)</c:v>
                </c:pt>
              </c:strCache>
            </c:strRef>
          </c:cat>
          <c:val>
            <c:numRef>
              <c:f>Dashboard!$K$26</c:f>
              <c:numCache>
                <c:formatCode>0%</c:formatCode>
                <c:ptCount val="1"/>
                <c:pt idx="0">
                  <c:v>0.1583333333333333</c:v>
                </c:pt>
              </c:numCache>
            </c:numRef>
          </c:val>
          <c:extLst>
            <c:ext xmlns:c16="http://schemas.microsoft.com/office/drawing/2014/chart" uri="{C3380CC4-5D6E-409C-BE32-E72D297353CC}">
              <c16:uniqueId val="{00000003-3B1B-4005-9F9D-27E4CBD4674E}"/>
            </c:ext>
          </c:extLst>
        </c:ser>
        <c:dLbls>
          <c:dLblPos val="ctr"/>
          <c:showLegendKey val="0"/>
          <c:showVal val="1"/>
          <c:showCatName val="0"/>
          <c:showSerName val="0"/>
          <c:showPercent val="0"/>
          <c:showBubbleSize val="0"/>
        </c:dLbls>
        <c:gapWidth val="150"/>
        <c:overlap val="100"/>
        <c:axId val="1758317871"/>
        <c:axId val="1758316431"/>
      </c:barChart>
      <c:catAx>
        <c:axId val="1758317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316431"/>
        <c:crosses val="autoZero"/>
        <c:auto val="1"/>
        <c:lblAlgn val="ctr"/>
        <c:lblOffset val="100"/>
        <c:noMultiLvlLbl val="0"/>
      </c:catAx>
      <c:valAx>
        <c:axId val="17583164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31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A$1" fmlaRange="Config!$G$10:$G$20" noThreeD="1" sel="11" val="3"/>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15240</xdr:colOff>
          <xdr:row>0</xdr:row>
          <xdr:rowOff>53340</xdr:rowOff>
        </xdr:from>
        <xdr:to>
          <xdr:col>4</xdr:col>
          <xdr:colOff>1173480</xdr:colOff>
          <xdr:row>1</xdr:row>
          <xdr:rowOff>83820</xdr:rowOff>
        </xdr:to>
        <xdr:sp macro="" textlink="">
          <xdr:nvSpPr>
            <xdr:cNvPr id="2050" name="Drop Down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153718</xdr:colOff>
      <xdr:row>9</xdr:row>
      <xdr:rowOff>87045</xdr:rowOff>
    </xdr:from>
    <xdr:to>
      <xdr:col>7</xdr:col>
      <xdr:colOff>472586</xdr:colOff>
      <xdr:row>19</xdr:row>
      <xdr:rowOff>81915</xdr:rowOff>
    </xdr:to>
    <xdr:graphicFrame macro="">
      <xdr:nvGraphicFramePr>
        <xdr:cNvPr id="8" name="Chart 7">
          <a:extLst>
            <a:ext uri="{FF2B5EF4-FFF2-40B4-BE49-F238E27FC236}">
              <a16:creationId xmlns:a16="http://schemas.microsoft.com/office/drawing/2014/main" id="{83E2D019-5F89-F70A-533B-2E2FCA38A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136720</xdr:colOff>
      <xdr:row>9</xdr:row>
      <xdr:rowOff>92026</xdr:rowOff>
    </xdr:from>
    <xdr:to>
      <xdr:col>14</xdr:col>
      <xdr:colOff>475664</xdr:colOff>
      <xdr:row>19</xdr:row>
      <xdr:rowOff>76200</xdr:rowOff>
    </xdr:to>
    <xdr:graphicFrame macro="">
      <xdr:nvGraphicFramePr>
        <xdr:cNvPr id="9" name="Chart 8">
          <a:extLst>
            <a:ext uri="{FF2B5EF4-FFF2-40B4-BE49-F238E27FC236}">
              <a16:creationId xmlns:a16="http://schemas.microsoft.com/office/drawing/2014/main" id="{2B9EE7AE-8D53-791F-587D-3D44B18A5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FB46C1-BA68-4DB3-B5A1-2B9F0C93AFF3}" name="Table1" displayName="Table1" ref="B22:C25" totalsRowShown="0" headerRowDxfId="23" dataDxfId="21" headerRowBorderDxfId="22" tableBorderDxfId="20" totalsRowBorderDxfId="19">
  <autoFilter ref="B22:C25" xr:uid="{17FB46C1-BA68-4DB3-B5A1-2B9F0C93AFF3}"/>
  <tableColumns count="2">
    <tableColumn id="1" xr3:uid="{96A3CA38-CD0F-440C-B8DD-C83F2F0E6A52}" name="Stage" dataDxfId="18"/>
    <tableColumn id="2" xr3:uid="{980BE869-B445-4316-AD1D-E312488842C6}" name="Volume"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EBE92E-9F30-4DE2-92E3-10CBC73AC248}" name="Table3" displayName="Table3" ref="J22:K26" totalsRowShown="0" headerRowDxfId="16" dataDxfId="14" headerRowBorderDxfId="15" tableBorderDxfId="13" totalsRowBorderDxfId="12">
  <autoFilter ref="J22:K26" xr:uid="{0FEBE92E-9F30-4DE2-92E3-10CBC73AC248}"/>
  <tableColumns count="2">
    <tableColumn id="1" xr3:uid="{17912F49-B485-46A9-9EBC-149EC57454A4}" name="Channel" dataDxfId="11"/>
    <tableColumn id="2" xr3:uid="{B3A667CD-4C88-4DC9-911E-6E6BE034FB18}" name="Share (%)" dataDxfId="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A9BDA3-0CF6-43BA-80A2-8472FE85EA7A}" name="Table4" displayName="Table4" ref="Q24:R26" totalsRowShown="0" headerRowDxfId="9" dataDxfId="7" headerRowBorderDxfId="8" tableBorderDxfId="6" totalsRowBorderDxfId="5">
  <autoFilter ref="Q24:R26" xr:uid="{B9A9BDA3-0CF6-43BA-80A2-8472FE85EA7A}"/>
  <tableColumns count="2">
    <tableColumn id="1" xr3:uid="{E8EAB8BE-00E8-4856-A78C-BD2A36E21A1A}" name="Column1" dataDxfId="4"/>
    <tableColumn id="2" xr3:uid="{BFE55090-EDE9-41D5-BE08-0E94F1C0376E}" name="Column2" dataDxfId="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18" Type="http://schemas.openxmlformats.org/officeDocument/2006/relationships/vmlDrawing" Target="../drawings/vmlDrawing1.vml"/><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17" Type="http://schemas.openxmlformats.org/officeDocument/2006/relationships/drawing" Target="../drawings/drawing1.xml"/><Relationship Id="rId2" Type="http://schemas.openxmlformats.org/officeDocument/2006/relationships/customProperty" Target="../customProperty1.bin"/><Relationship Id="rId16" Type="http://schemas.openxmlformats.org/officeDocument/2006/relationships/customProperty" Target="../customProperty15.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customProperty" Target="../customProperty14.bin"/><Relationship Id="rId10" Type="http://schemas.openxmlformats.org/officeDocument/2006/relationships/customProperty" Target="../customProperty9.bin"/><Relationship Id="rId19" Type="http://schemas.openxmlformats.org/officeDocument/2006/relationships/ctrlProp" Target="../ctrlProps/ctrlProp1.xml"/><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24.bin"/><Relationship Id="rId3" Type="http://schemas.openxmlformats.org/officeDocument/2006/relationships/customProperty" Target="../customProperty19.bin"/><Relationship Id="rId7" Type="http://schemas.openxmlformats.org/officeDocument/2006/relationships/customProperty" Target="../customProperty23.bin"/><Relationship Id="rId2" Type="http://schemas.openxmlformats.org/officeDocument/2006/relationships/customProperty" Target="../customProperty18.bin"/><Relationship Id="rId1" Type="http://schemas.openxmlformats.org/officeDocument/2006/relationships/printerSettings" Target="../printerSettings/printerSettings3.bin"/><Relationship Id="rId6" Type="http://schemas.openxmlformats.org/officeDocument/2006/relationships/customProperty" Target="../customProperty22.bin"/><Relationship Id="rId5" Type="http://schemas.openxmlformats.org/officeDocument/2006/relationships/customProperty" Target="../customProperty21.bin"/><Relationship Id="rId10" Type="http://schemas.openxmlformats.org/officeDocument/2006/relationships/customProperty" Target="../customProperty26.bin"/><Relationship Id="rId4" Type="http://schemas.openxmlformats.org/officeDocument/2006/relationships/customProperty" Target="../customProperty20.bin"/><Relationship Id="rId9" Type="http://schemas.openxmlformats.org/officeDocument/2006/relationships/customProperty" Target="../customProperty25.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27.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28.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36.bin"/><Relationship Id="rId3" Type="http://schemas.openxmlformats.org/officeDocument/2006/relationships/customProperty" Target="../customProperty31.bin"/><Relationship Id="rId7" Type="http://schemas.openxmlformats.org/officeDocument/2006/relationships/customProperty" Target="../customProperty35.bin"/><Relationship Id="rId2" Type="http://schemas.openxmlformats.org/officeDocument/2006/relationships/customProperty" Target="../customProperty30.bin"/><Relationship Id="rId1" Type="http://schemas.openxmlformats.org/officeDocument/2006/relationships/customProperty" Target="../customProperty29.bin"/><Relationship Id="rId6" Type="http://schemas.openxmlformats.org/officeDocument/2006/relationships/customProperty" Target="../customProperty34.bin"/><Relationship Id="rId5" Type="http://schemas.openxmlformats.org/officeDocument/2006/relationships/customProperty" Target="../customProperty33.bin"/><Relationship Id="rId4" Type="http://schemas.openxmlformats.org/officeDocument/2006/relationships/customProperty" Target="../customProperty32.bin"/><Relationship Id="rId9" Type="http://schemas.openxmlformats.org/officeDocument/2006/relationships/customProperty" Target="../customProperty3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D8848-2F3A-4AE6-A997-99066B4798E4}">
  <dimension ref="A1:K18"/>
  <sheetViews>
    <sheetView workbookViewId="0">
      <selection activeCell="E24" sqref="E24"/>
    </sheetView>
  </sheetViews>
  <sheetFormatPr defaultRowHeight="13.2" x14ac:dyDescent="0.25"/>
  <cols>
    <col min="4" max="4" width="3.6640625" customWidth="1"/>
    <col min="5" max="5" width="32" customWidth="1"/>
    <col min="6" max="6" width="9.6640625" customWidth="1"/>
    <col min="7" max="7" width="10" customWidth="1"/>
    <col min="8" max="8" width="2.5546875" customWidth="1"/>
    <col min="9" max="9" width="8.5546875" customWidth="1"/>
    <col min="10" max="10" width="8.6640625" customWidth="1"/>
    <col min="11" max="11" width="4.109375" customWidth="1"/>
  </cols>
  <sheetData>
    <row r="1" spans="1:11" x14ac:dyDescent="0.25">
      <c r="A1">
        <v>11</v>
      </c>
      <c r="B1">
        <f>A1-1</f>
        <v>10</v>
      </c>
      <c r="D1" s="10"/>
      <c r="E1" s="11"/>
      <c r="F1" s="11"/>
      <c r="G1" s="11"/>
      <c r="H1" s="11"/>
      <c r="I1" s="11"/>
      <c r="J1" s="11"/>
      <c r="K1" s="12"/>
    </row>
    <row r="2" spans="1:11" x14ac:dyDescent="0.25">
      <c r="D2" s="13"/>
      <c r="E2" s="14"/>
      <c r="F2" s="14"/>
      <c r="G2" s="14"/>
      <c r="H2" s="14"/>
      <c r="I2" s="14"/>
      <c r="J2" s="14"/>
      <c r="K2" s="15"/>
    </row>
    <row r="3" spans="1:11" x14ac:dyDescent="0.25">
      <c r="D3" s="13"/>
      <c r="E3" s="20" t="s">
        <v>17</v>
      </c>
      <c r="F3" s="21" t="s">
        <v>18</v>
      </c>
      <c r="G3" s="21" t="s">
        <v>19</v>
      </c>
      <c r="H3" s="31"/>
      <c r="I3" s="29" t="s">
        <v>20</v>
      </c>
      <c r="J3" s="21" t="s">
        <v>21</v>
      </c>
      <c r="K3" s="15"/>
    </row>
    <row r="4" spans="1:11" x14ac:dyDescent="0.25">
      <c r="D4" s="13"/>
      <c r="E4" s="22" t="str">
        <f>'Conversion Data'!$L$6</f>
        <v>Site: Revenue</v>
      </c>
      <c r="F4" s="36">
        <f>SUMIF('Conversion Data'!$F$7:$F$371,$A$1,'Conversion Data'!$L$7:$L$371)</f>
        <v>0</v>
      </c>
      <c r="G4" s="36">
        <f>SUMIF('Conversion Data'!$F$7:$F$371,$B$1,'Conversion Data'!$L$7:$L$371)</f>
        <v>0</v>
      </c>
      <c r="H4" s="32" t="str">
        <f t="shared" ref="H4:H10" si="0">IF(I4="-","",IF(I4&gt;0,"p","q"))</f>
        <v/>
      </c>
      <c r="I4" s="30" t="str">
        <f t="shared" ref="I4:I10" si="1">IF(G4&lt;&gt;0,(F4-G4)/G4,"-")</f>
        <v>-</v>
      </c>
      <c r="J4" s="36">
        <f>SUM('Conversion Data'!$L$7:$L$371)</f>
        <v>22518698.879999999</v>
      </c>
      <c r="K4" s="15"/>
    </row>
    <row r="5" spans="1:11" x14ac:dyDescent="0.25">
      <c r="D5" s="13"/>
      <c r="E5" s="22" t="str">
        <f>'Conversion Data'!$M$6</f>
        <v>Site: Orders</v>
      </c>
      <c r="F5" s="24">
        <f>SUMIF('Conversion Data'!$F$7:$F$371,$A$1,'Conversion Data'!$M$7:$M$371)</f>
        <v>0</v>
      </c>
      <c r="G5" s="24">
        <f>SUMIF('Conversion Data'!$F$7:$F$371,$B$1,'Conversion Data'!$M$7:$M$371)</f>
        <v>0</v>
      </c>
      <c r="H5" s="32" t="str">
        <f t="shared" si="0"/>
        <v/>
      </c>
      <c r="I5" s="30" t="str">
        <f t="shared" si="1"/>
        <v>-</v>
      </c>
      <c r="J5" s="24">
        <f>SUM('Conversion Data'!$M$7:$M$371)</f>
        <v>133011</v>
      </c>
      <c r="K5" s="15"/>
    </row>
    <row r="6" spans="1:11" x14ac:dyDescent="0.25">
      <c r="D6" s="13"/>
      <c r="E6" s="23" t="str">
        <f>'Conversion Data'!O6</f>
        <v>Shop: Checkouts</v>
      </c>
      <c r="F6" s="24">
        <f>SUMIF('Conversion Data'!$F$7:$F$371,$A$1,'Conversion Data'!$O$7:$O$371)</f>
        <v>0</v>
      </c>
      <c r="G6" s="24">
        <f>SUMIF('Conversion Data'!$F$7:$F$371,$B$1,'Conversion Data'!$O$7:$O$371)</f>
        <v>0</v>
      </c>
      <c r="H6" s="32" t="str">
        <f t="shared" si="0"/>
        <v/>
      </c>
      <c r="I6" s="30" t="str">
        <f t="shared" si="1"/>
        <v>-</v>
      </c>
      <c r="J6" s="24">
        <f>SUM('Conversion Data'!$O$7:$O$371)</f>
        <v>283773</v>
      </c>
      <c r="K6" s="15"/>
    </row>
    <row r="7" spans="1:11" x14ac:dyDescent="0.25">
      <c r="D7" s="13"/>
      <c r="E7" s="23" t="str">
        <f>'Conversion Data'!P6</f>
        <v>Shop: Carts</v>
      </c>
      <c r="F7" s="24">
        <f>SUMIF('Conversion Data'!$F$7:$F$371,$A$1,'Conversion Data'!$P$7:$P$371)</f>
        <v>0</v>
      </c>
      <c r="G7" s="24">
        <f>SUMIF('Conversion Data'!$F$7:$F$371,$B$1,'Conversion Data'!$P$7:$P$371)</f>
        <v>0</v>
      </c>
      <c r="H7" s="32" t="str">
        <f t="shared" si="0"/>
        <v/>
      </c>
      <c r="I7" s="30" t="str">
        <f t="shared" si="1"/>
        <v>-</v>
      </c>
      <c r="J7" s="24">
        <f>SUM('Conversion Data'!$P$7:$P$371)</f>
        <v>332706</v>
      </c>
      <c r="K7" s="15"/>
    </row>
    <row r="8" spans="1:11" x14ac:dyDescent="0.25">
      <c r="D8" s="13"/>
      <c r="E8" s="23" t="str">
        <f>'Conversion Data'!Q6</f>
        <v>Shop: Cart Additions</v>
      </c>
      <c r="F8" s="24">
        <f>SUMIF('Conversion Data'!$F$7:$F$371,$A$1,'Conversion Data'!$Q$7:$Q$371)</f>
        <v>0</v>
      </c>
      <c r="G8" s="24">
        <f>SUMIF('Conversion Data'!$F$7:$F$371,$B$1,'Conversion Data'!$Q$7:$Q$371)</f>
        <v>0</v>
      </c>
      <c r="H8" s="32" t="str">
        <f t="shared" si="0"/>
        <v/>
      </c>
      <c r="I8" s="30" t="str">
        <f t="shared" si="1"/>
        <v>-</v>
      </c>
      <c r="J8" s="24">
        <f>SUM('Conversion Data'!$Q$7:$Q$371)</f>
        <v>859123</v>
      </c>
      <c r="K8" s="15"/>
    </row>
    <row r="9" spans="1:11" x14ac:dyDescent="0.25">
      <c r="D9" s="13"/>
      <c r="E9" s="23" t="str">
        <f>'Conversion Data'!R6</f>
        <v>Shop: Cart Removals</v>
      </c>
      <c r="F9" s="24">
        <f>SUMIF('Conversion Data'!$F$7:$F$371,$A$1,'Conversion Data'!$R$7:$R$371)</f>
        <v>0</v>
      </c>
      <c r="G9" s="24">
        <f>SUMIF('Conversion Data'!$F$7:$F$371,$B$1,'Conversion Data'!$R$7:$R$371)</f>
        <v>0</v>
      </c>
      <c r="H9" s="32" t="str">
        <f>IF(I9="-","",IF(I9&gt;0,"p","q"))</f>
        <v/>
      </c>
      <c r="I9" s="30" t="str">
        <f t="shared" si="1"/>
        <v>-</v>
      </c>
      <c r="J9" s="24">
        <f>SUM('Conversion Data'!$R$7:$R$371)</f>
        <v>94782</v>
      </c>
      <c r="K9" s="15"/>
    </row>
    <row r="10" spans="1:11" x14ac:dyDescent="0.25">
      <c r="D10" s="13"/>
      <c r="E10" s="23">
        <f>'Conversion Data'!S6</f>
        <v>0</v>
      </c>
      <c r="F10" s="24">
        <f>SUMIF('Conversion Data'!$F$7:$F$371,$A$1,'Conversion Data'!$S$7:$S$371)</f>
        <v>0</v>
      </c>
      <c r="G10" s="24">
        <f>SUMIF('Conversion Data'!$F$7:$F$371,$B$1,'Conversion Data'!$S$7:$S$371)</f>
        <v>0</v>
      </c>
      <c r="H10" s="32" t="str">
        <f t="shared" si="0"/>
        <v/>
      </c>
      <c r="I10" s="30" t="str">
        <f t="shared" si="1"/>
        <v>-</v>
      </c>
      <c r="J10" s="24">
        <f>SUM('Conversion Data'!$S$7:$S$371)</f>
        <v>0</v>
      </c>
      <c r="K10" s="15"/>
    </row>
    <row r="11" spans="1:11" x14ac:dyDescent="0.25">
      <c r="D11" s="13"/>
      <c r="E11" s="23"/>
      <c r="F11" s="24"/>
      <c r="G11" s="24"/>
      <c r="H11" s="32"/>
      <c r="I11" s="30"/>
      <c r="J11" s="24"/>
      <c r="K11" s="15"/>
    </row>
    <row r="12" spans="1:11" x14ac:dyDescent="0.25">
      <c r="D12" s="13"/>
      <c r="E12" s="20" t="s">
        <v>29</v>
      </c>
      <c r="F12" s="21" t="s">
        <v>18</v>
      </c>
      <c r="G12" s="21" t="s">
        <v>19</v>
      </c>
      <c r="H12" s="31"/>
      <c r="I12" s="29" t="s">
        <v>20</v>
      </c>
      <c r="J12" s="21" t="s">
        <v>21</v>
      </c>
      <c r="K12" s="15"/>
    </row>
    <row r="13" spans="1:11" x14ac:dyDescent="0.25">
      <c r="D13" s="13"/>
      <c r="E13" s="22" t="str">
        <f>Config!B8</f>
        <v>cpc.ca: shop &gt; business</v>
      </c>
      <c r="F13" s="22">
        <f>SUMIF('Traffic Data'!$F$7:$F$371,'Conversion Summary'!$A$1,'Traffic Data'!$V$7:$V$371)</f>
        <v>0</v>
      </c>
      <c r="G13" s="22">
        <f>SUMIF('Traffic Data'!$F$7:$F$371,'Conversion Summary'!$B$1,'Traffic Data'!$V$7:$W$371)</f>
        <v>0</v>
      </c>
      <c r="H13" s="32" t="str">
        <f>IF(I13="-","",IF(I13&gt;0,"p","q"))</f>
        <v/>
      </c>
      <c r="I13" s="30" t="str">
        <f>IF(G13&lt;&gt;0,(F13-G13)/G13,"-")</f>
        <v>-</v>
      </c>
      <c r="J13" s="22">
        <f>SUM('Traffic Data'!$V$7:$V$371)</f>
        <v>237935</v>
      </c>
      <c r="K13" s="15"/>
    </row>
    <row r="14" spans="1:11" x14ac:dyDescent="0.25">
      <c r="D14" s="13"/>
      <c r="E14" s="22" t="str">
        <f>Config!B9</f>
        <v>cpc.ca: shop &gt; commercial</v>
      </c>
      <c r="F14" s="22">
        <f>SUMIF('Traffic Data'!$F$7:$F$371,'Conversion Summary'!$A$1,'Traffic Data'!$AE$7:$AE$371)</f>
        <v>0</v>
      </c>
      <c r="G14" s="22">
        <f>SUMIF('Traffic Data'!$F$7:$F$371,'Conversion Summary'!$B$1,'Traffic Data'!$AE$7:$AE$371)</f>
        <v>0</v>
      </c>
      <c r="H14" s="32" t="str">
        <f>IF(I14="-","",IF(I14&gt;0,"p","q"))</f>
        <v/>
      </c>
      <c r="I14" s="30" t="str">
        <f>IF(G14&lt;&gt;0,(F14-G14)/G14,"-")</f>
        <v>-</v>
      </c>
      <c r="J14" s="22">
        <f>SUM('Traffic Data'!$AE$7:$AE$371)</f>
        <v>144900</v>
      </c>
      <c r="K14" s="15"/>
    </row>
    <row r="15" spans="1:11" x14ac:dyDescent="0.25">
      <c r="D15" s="13"/>
      <c r="E15" s="22" t="str">
        <f>Config!B10</f>
        <v>cpc.ca: shop &gt; personal</v>
      </c>
      <c r="F15" s="22">
        <f>SUMIF('Traffic Data'!$F$7:$F$371,'Conversion Summary'!$A$1,'Traffic Data'!$AS$7:$AS$371)</f>
        <v>0</v>
      </c>
      <c r="G15" s="22">
        <f>SUMIF('Traffic Data'!$F$7:$F$371,'Conversion Summary'!$B$1,'Traffic Data'!$AS$7:$AS$371)</f>
        <v>0</v>
      </c>
      <c r="H15" s="32" t="str">
        <f>IF(I15="-","",IF(I15&gt;0,"p","q"))</f>
        <v/>
      </c>
      <c r="I15" s="30" t="str">
        <f>IF(G15&lt;&gt;0,(F15-G15)/G15,"-")</f>
        <v>-</v>
      </c>
      <c r="J15" s="22">
        <f>SUM('Traffic Data'!$AS$7:$AS$371)</f>
        <v>1811391</v>
      </c>
      <c r="K15" s="15"/>
    </row>
    <row r="16" spans="1:11" x14ac:dyDescent="0.25">
      <c r="D16" s="13"/>
      <c r="E16" s="22" t="str">
        <f>Config!B11</f>
        <v>cpc.ca: shop &gt; collecting</v>
      </c>
      <c r="F16" s="22">
        <f>SUMIF('Traffic Data'!$F$7:$F$371,'Conversion Summary'!$A$1,'Traffic Data'!$BB$7:$BB$371)</f>
        <v>0</v>
      </c>
      <c r="G16" s="22">
        <f>SUMIF('Traffic Data'!$F$7:$F$371,'Conversion Summary'!$B$1,'Traffic Data'!$BB$7:$BB$371)</f>
        <v>0</v>
      </c>
      <c r="H16" s="32" t="str">
        <f>IF(I16="-","",IF(I16&gt;0,"p","q"))</f>
        <v/>
      </c>
      <c r="I16" s="30" t="str">
        <f>IF(G16&lt;&gt;0,(F16-G16)/G16,"-")</f>
        <v>-</v>
      </c>
      <c r="J16" s="22">
        <f>SUM('Traffic Data'!$BB$7:$BB$371)</f>
        <v>646478</v>
      </c>
      <c r="K16" s="15"/>
    </row>
    <row r="17" spans="4:11" x14ac:dyDescent="0.25">
      <c r="D17" s="13"/>
      <c r="E17" s="14"/>
      <c r="F17" s="14"/>
      <c r="G17" s="14"/>
      <c r="H17" s="14"/>
      <c r="I17" s="14"/>
      <c r="J17" s="14"/>
      <c r="K17" s="15"/>
    </row>
    <row r="18" spans="4:11" x14ac:dyDescent="0.25">
      <c r="D18" s="16"/>
      <c r="E18" s="17"/>
      <c r="F18" s="17"/>
      <c r="G18" s="17"/>
      <c r="H18" s="17"/>
      <c r="I18" s="17"/>
      <c r="J18" s="17"/>
      <c r="K18" s="18"/>
    </row>
  </sheetData>
  <phoneticPr fontId="3" type="noConversion"/>
  <conditionalFormatting sqref="H3:H8 H12">
    <cfRule type="cellIs" dxfId="2" priority="4" stopIfTrue="1" operator="equal">
      <formula>"q"</formula>
    </cfRule>
  </conditionalFormatting>
  <conditionalFormatting sqref="H3:H16">
    <cfRule type="cellIs" dxfId="1" priority="2" stopIfTrue="1" operator="equal">
      <formula>"p"</formula>
    </cfRule>
  </conditionalFormatting>
  <conditionalFormatting sqref="H9:H11 H13:H16">
    <cfRule type="cellIs" dxfId="0" priority="1" stopIfTrue="1" operator="equal">
      <formula>"q"</formula>
    </cfRule>
  </conditionalFormatting>
  <pageMargins left="0.75" right="0.75" top="1" bottom="1" header="0.5" footer="0.5"/>
  <pageSetup orientation="portrait" r:id="rId1"/>
  <headerFooter alignWithMargins="0"/>
  <customProperties>
    <customPr name="ORB_ACCOUNTS_1" r:id="rId2"/>
    <customPr name="ORB_ACCOUNTS_2" r:id="rId3"/>
    <customPr name="ORB_ACCOUNTS_3" r:id="rId4"/>
    <customPr name="ORB_ACCOUNTS_4" r:id="rId5"/>
    <customPr name="ORB_SHEETNAME" r:id="rId6"/>
    <customPr name="ORB_V1_00000" r:id="rId7"/>
    <customPr name="ORB_V1_00001" r:id="rId8"/>
    <customPr name="ORB_V1_00002" r:id="rId9"/>
    <customPr name="ORB_V1_00003" r:id="rId10"/>
    <customPr name="ORB_V1_00004" r:id="rId11"/>
    <customPr name="ORB_V1_00005" r:id="rId12"/>
    <customPr name="ORB_V1_00006" r:id="rId13"/>
    <customPr name="ORB_V1_00007" r:id="rId14"/>
    <customPr name="ORB_V1_00008" r:id="rId15"/>
    <customPr name="RB_WORKBOOK_VERSION" r:id="rId16"/>
  </customProperties>
  <drawing r:id="rId17"/>
  <legacyDrawing r:id="rId18"/>
  <mc:AlternateContent xmlns:mc="http://schemas.openxmlformats.org/markup-compatibility/2006">
    <mc:Choice Requires="x14">
      <controls>
        <mc:AlternateContent xmlns:mc="http://schemas.openxmlformats.org/markup-compatibility/2006">
          <mc:Choice Requires="x14">
            <control shapeId="2050" r:id="rId19" name="Drop Down 2">
              <controlPr defaultSize="0" autoLine="0" autoPict="0">
                <anchor moveWithCells="1">
                  <from>
                    <xdr:col>4</xdr:col>
                    <xdr:colOff>15240</xdr:colOff>
                    <xdr:row>0</xdr:row>
                    <xdr:rowOff>53340</xdr:rowOff>
                  </from>
                  <to>
                    <xdr:col>4</xdr:col>
                    <xdr:colOff>1173480</xdr:colOff>
                    <xdr:row>1</xdr:row>
                    <xdr:rowOff>83820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AEE20-644E-4792-B794-8C2C28C974F7}">
  <dimension ref="A1:I29"/>
  <sheetViews>
    <sheetView workbookViewId="0">
      <selection activeCell="H27" sqref="D27:H27"/>
    </sheetView>
  </sheetViews>
  <sheetFormatPr defaultRowHeight="13.2" x14ac:dyDescent="0.25"/>
  <cols>
    <col min="4" max="4" width="13.33203125" customWidth="1"/>
    <col min="7" max="7" width="13.6640625" customWidth="1"/>
    <col min="8" max="8" width="12" customWidth="1"/>
  </cols>
  <sheetData>
    <row r="1" spans="1:9" x14ac:dyDescent="0.25">
      <c r="A1">
        <v>1</v>
      </c>
      <c r="B1">
        <v>2</v>
      </c>
      <c r="C1">
        <v>3</v>
      </c>
      <c r="D1">
        <v>4</v>
      </c>
      <c r="E1">
        <v>5</v>
      </c>
      <c r="F1">
        <v>6</v>
      </c>
      <c r="G1">
        <v>7</v>
      </c>
      <c r="H1">
        <v>8</v>
      </c>
    </row>
    <row r="2" spans="1:9" x14ac:dyDescent="0.25">
      <c r="C2" s="44" t="s">
        <v>63</v>
      </c>
      <c r="D2" s="45"/>
      <c r="E2" s="45"/>
      <c r="F2" s="45"/>
      <c r="G2" s="45"/>
      <c r="H2" s="45"/>
    </row>
    <row r="3" spans="1:9" x14ac:dyDescent="0.25">
      <c r="B3" s="6" t="s">
        <v>23</v>
      </c>
      <c r="C3" s="39" t="s">
        <v>41</v>
      </c>
      <c r="D3" s="40" t="s">
        <v>58</v>
      </c>
      <c r="E3" s="40" t="s">
        <v>59</v>
      </c>
      <c r="F3" s="40" t="s">
        <v>60</v>
      </c>
      <c r="G3" s="40" t="s">
        <v>61</v>
      </c>
      <c r="H3" s="40" t="s">
        <v>62</v>
      </c>
    </row>
    <row r="4" spans="1:9" x14ac:dyDescent="0.25">
      <c r="A4">
        <f>C4</f>
        <v>40452</v>
      </c>
      <c r="B4">
        <v>2011</v>
      </c>
      <c r="C4" s="43">
        <f>'Traffic Data'!BS7</f>
        <v>40452</v>
      </c>
      <c r="D4" s="8">
        <f>SUMIF('Traffic Data'!$F$7:$F$371,$A4,'Traffic Data'!$BT$7:$BT$371)</f>
        <v>5066</v>
      </c>
      <c r="E4" s="8">
        <f>SUMIF('Traffic Data'!$F$7:$F$371,$A4,'Traffic Data'!$BX$7:$BX$371)</f>
        <v>4930</v>
      </c>
      <c r="F4" s="8">
        <f>SUMIF('Traffic Data'!$F$7:$F$371,$A4,'Traffic Data'!$CB$7:$CB$371)</f>
        <v>4829</v>
      </c>
      <c r="G4" s="8">
        <f>SUMIF('Traffic Data'!$F$7:$F$371,$A4,'Traffic Data'!$CF$7:$CF$371)</f>
        <v>4442</v>
      </c>
      <c r="H4" s="8">
        <f>SUMIF('Traffic Data'!$F$7:$F$371,$A4,'Traffic Data'!$CJ$7:$CJ$371)</f>
        <v>4163</v>
      </c>
      <c r="I4" s="41">
        <f t="shared" ref="I4:I13" si="0">(H4-G4)/G4</f>
        <v>-6.2809545249887438E-2</v>
      </c>
    </row>
    <row r="5" spans="1:9" x14ac:dyDescent="0.25">
      <c r="A5">
        <f t="shared" ref="A5:A15" si="1">C5</f>
        <v>40483</v>
      </c>
      <c r="B5">
        <v>2011</v>
      </c>
      <c r="C5" s="43">
        <f>'Traffic Data'!BS8</f>
        <v>40483</v>
      </c>
      <c r="D5" s="8">
        <f>SUMIF('Traffic Data'!$F$7:$F$371,$A5,'Traffic Data'!$BT$7:$BT$371)</f>
        <v>6249</v>
      </c>
      <c r="E5" s="8">
        <f>SUMIF('Traffic Data'!$F$7:$F$371,$A5,'Traffic Data'!$BX$7:$BX$371)</f>
        <v>6096</v>
      </c>
      <c r="F5" s="8">
        <f>SUMIF('Traffic Data'!$F$7:$F$371,$A5,'Traffic Data'!$CB$7:$CB$371)</f>
        <v>5974</v>
      </c>
      <c r="G5" s="8">
        <f>SUMIF('Traffic Data'!$F$7:$F$371,$A5,'Traffic Data'!$CF$7:$CF$371)</f>
        <v>5334</v>
      </c>
      <c r="H5" s="8">
        <f>SUMIF('Traffic Data'!$F$7:$F$371,$A5,'Traffic Data'!$CJ$7:$CJ$371)</f>
        <v>5017</v>
      </c>
      <c r="I5" s="41">
        <f t="shared" si="0"/>
        <v>-5.943007124109486E-2</v>
      </c>
    </row>
    <row r="6" spans="1:9" x14ac:dyDescent="0.25">
      <c r="A6">
        <f t="shared" si="1"/>
        <v>40513</v>
      </c>
      <c r="B6">
        <v>2011</v>
      </c>
      <c r="C6" s="43">
        <f>'Traffic Data'!BS9</f>
        <v>40513</v>
      </c>
      <c r="D6" s="8">
        <f>SUMIF('Traffic Data'!$F$7:$F$371,$A6,'Traffic Data'!$BT$7:$BT$371)</f>
        <v>5517</v>
      </c>
      <c r="E6" s="8">
        <f>SUMIF('Traffic Data'!$F$7:$F$371,$A6,'Traffic Data'!$BX$7:$BX$371)</f>
        <v>5387</v>
      </c>
      <c r="F6" s="8">
        <f>SUMIF('Traffic Data'!$F$7:$F$371,$A6,'Traffic Data'!$CB$7:$CB$371)</f>
        <v>5404</v>
      </c>
      <c r="G6" s="8">
        <f>SUMIF('Traffic Data'!$F$7:$F$371,$A6,'Traffic Data'!$CF$7:$CF$371)</f>
        <v>4825</v>
      </c>
      <c r="H6" s="8">
        <f>SUMIF('Traffic Data'!$F$7:$F$371,$A6,'Traffic Data'!$CJ$7:$CJ$371)</f>
        <v>4511</v>
      </c>
      <c r="I6" s="41">
        <f t="shared" si="0"/>
        <v>-6.5077720207253886E-2</v>
      </c>
    </row>
    <row r="7" spans="1:9" x14ac:dyDescent="0.25">
      <c r="A7">
        <f t="shared" si="1"/>
        <v>40544</v>
      </c>
      <c r="B7">
        <v>2011</v>
      </c>
      <c r="C7" s="43">
        <f>'Traffic Data'!BS10</f>
        <v>40544</v>
      </c>
      <c r="D7" s="8">
        <f>SUMIF('Traffic Data'!$F$7:$F$371,$A7,'Traffic Data'!$BT$7:$BT$371)</f>
        <v>7273</v>
      </c>
      <c r="E7" s="8">
        <f>SUMIF('Traffic Data'!$F$7:$F$371,$A7,'Traffic Data'!$BX$7:$BX$371)</f>
        <v>7520</v>
      </c>
      <c r="F7" s="8">
        <f>SUMIF('Traffic Data'!$F$7:$F$371,$A7,'Traffic Data'!$CB$7:$CB$371)</f>
        <v>6970</v>
      </c>
      <c r="G7" s="8">
        <f>SUMIF('Traffic Data'!$F$7:$F$371,$A7,'Traffic Data'!$CF$7:$CF$371)</f>
        <v>6305</v>
      </c>
      <c r="H7" s="8">
        <f>SUMIF('Traffic Data'!$F$7:$F$371,$A7,'Traffic Data'!$CJ$7:$CJ$371)</f>
        <v>5318</v>
      </c>
      <c r="I7" s="41">
        <f t="shared" si="0"/>
        <v>-0.15654242664551943</v>
      </c>
    </row>
    <row r="8" spans="1:9" x14ac:dyDescent="0.25">
      <c r="A8">
        <f t="shared" si="1"/>
        <v>40575</v>
      </c>
      <c r="B8">
        <v>2011</v>
      </c>
      <c r="C8" s="43">
        <f>'Traffic Data'!BS11</f>
        <v>40575</v>
      </c>
      <c r="D8" s="8">
        <f>SUMIF('Traffic Data'!$F$7:$F$371,$A8,'Traffic Data'!$BT$7:$BT$371)</f>
        <v>7373</v>
      </c>
      <c r="E8" s="8">
        <f>SUMIF('Traffic Data'!$F$7:$F$371,$A8,'Traffic Data'!$BX$7:$BX$371)</f>
        <v>7496</v>
      </c>
      <c r="F8" s="8">
        <f>SUMIF('Traffic Data'!$F$7:$F$371,$A8,'Traffic Data'!$CB$7:$CB$371)</f>
        <v>7294</v>
      </c>
      <c r="G8" s="8">
        <f>SUMIF('Traffic Data'!$F$7:$F$371,$A8,'Traffic Data'!$CF$7:$CF$371)</f>
        <v>6757</v>
      </c>
      <c r="H8" s="8">
        <f>SUMIF('Traffic Data'!$F$7:$F$371,$A8,'Traffic Data'!$CJ$7:$CJ$371)</f>
        <v>4442</v>
      </c>
      <c r="I8" s="41">
        <f t="shared" si="0"/>
        <v>-0.34260766612401955</v>
      </c>
    </row>
    <row r="9" spans="1:9" x14ac:dyDescent="0.25">
      <c r="A9">
        <f t="shared" si="1"/>
        <v>40603</v>
      </c>
      <c r="B9">
        <v>2011</v>
      </c>
      <c r="C9" s="43">
        <f>'Traffic Data'!BS12</f>
        <v>40603</v>
      </c>
      <c r="D9" s="8">
        <f>SUMIF('Traffic Data'!$F$7:$F$371,$A9,'Traffic Data'!$BT$7:$BT$371)</f>
        <v>10455</v>
      </c>
      <c r="E9" s="8">
        <f>SUMIF('Traffic Data'!$F$7:$F$371,$A9,'Traffic Data'!$BX$7:$BX$371)</f>
        <v>10246</v>
      </c>
      <c r="F9" s="8">
        <f>SUMIF('Traffic Data'!$F$7:$F$371,$A9,'Traffic Data'!$CB$7:$CB$371)</f>
        <v>10020</v>
      </c>
      <c r="G9" s="8">
        <f>SUMIF('Traffic Data'!$F$7:$F$371,$A9,'Traffic Data'!$CF$7:$CF$371)</f>
        <v>8736</v>
      </c>
      <c r="H9" s="8">
        <f>SUMIF('Traffic Data'!$F$7:$F$371,$A9,'Traffic Data'!$CJ$7:$CJ$371)</f>
        <v>5402</v>
      </c>
      <c r="I9" s="41">
        <f t="shared" si="0"/>
        <v>-0.38163919413919412</v>
      </c>
    </row>
    <row r="10" spans="1:9" x14ac:dyDescent="0.25">
      <c r="A10">
        <f t="shared" si="1"/>
        <v>40634</v>
      </c>
      <c r="B10">
        <v>2011</v>
      </c>
      <c r="C10" s="43">
        <f>'Traffic Data'!BS13</f>
        <v>40634</v>
      </c>
      <c r="D10" s="8">
        <f>SUMIF('Traffic Data'!$F$7:$F$371,$A10,'Traffic Data'!$BT$7:$BT$371)</f>
        <v>9474</v>
      </c>
      <c r="E10" s="8">
        <f>SUMIF('Traffic Data'!$F$7:$F$371,$A10,'Traffic Data'!$BX$7:$BX$371)</f>
        <v>9291</v>
      </c>
      <c r="F10" s="8">
        <f>SUMIF('Traffic Data'!$F$7:$F$371,$A10,'Traffic Data'!$CB$7:$CB$371)</f>
        <v>9141</v>
      </c>
      <c r="G10" s="8">
        <f>SUMIF('Traffic Data'!$F$7:$F$371,$A10,'Traffic Data'!$CF$7:$CF$371)</f>
        <v>8156</v>
      </c>
      <c r="H10" s="8">
        <f>SUMIF('Traffic Data'!$F$7:$F$371,$A10,'Traffic Data'!$CJ$7:$CJ$371)</f>
        <v>5172</v>
      </c>
      <c r="I10" s="41">
        <f t="shared" si="0"/>
        <v>-0.36586562040215792</v>
      </c>
    </row>
    <row r="11" spans="1:9" x14ac:dyDescent="0.25">
      <c r="A11">
        <f t="shared" si="1"/>
        <v>40664</v>
      </c>
      <c r="B11">
        <v>2011</v>
      </c>
      <c r="C11" s="43">
        <f>'Traffic Data'!BS14</f>
        <v>40664</v>
      </c>
      <c r="D11" s="8">
        <f>SUMIF('Traffic Data'!$F$7:$F$371,$A11,'Traffic Data'!$BT$7:$BT$371)</f>
        <v>8431</v>
      </c>
      <c r="E11" s="8">
        <f>SUMIF('Traffic Data'!$F$7:$F$371,$A11,'Traffic Data'!$BX$7:$BX$371)</f>
        <v>8226</v>
      </c>
      <c r="F11" s="8">
        <f>SUMIF('Traffic Data'!$F$7:$F$371,$A11,'Traffic Data'!$CB$7:$CB$371)</f>
        <v>7890</v>
      </c>
      <c r="G11" s="8">
        <f>SUMIF('Traffic Data'!$F$7:$F$371,$A11,'Traffic Data'!$CF$7:$CF$371)</f>
        <v>7410</v>
      </c>
      <c r="H11" s="8">
        <f>SUMIF('Traffic Data'!$F$7:$F$371,$A11,'Traffic Data'!$CJ$7:$CJ$371)</f>
        <v>4310</v>
      </c>
      <c r="I11" s="41">
        <f t="shared" si="0"/>
        <v>-0.4183535762483131</v>
      </c>
    </row>
    <row r="12" spans="1:9" x14ac:dyDescent="0.25">
      <c r="A12">
        <f t="shared" si="1"/>
        <v>40695</v>
      </c>
      <c r="B12">
        <v>2011</v>
      </c>
      <c r="C12" s="43">
        <f>'Traffic Data'!BS15</f>
        <v>40695</v>
      </c>
      <c r="D12" s="8">
        <f>SUMIF('Traffic Data'!$F$7:$F$371,$A12,'Traffic Data'!$BT$7:$BT$371)</f>
        <v>3463</v>
      </c>
      <c r="E12" s="8">
        <f>SUMIF('Traffic Data'!$F$7:$F$371,$A12,'Traffic Data'!$BX$7:$BX$371)</f>
        <v>3409</v>
      </c>
      <c r="F12" s="8">
        <f>SUMIF('Traffic Data'!$F$7:$F$371,$A12,'Traffic Data'!$CB$7:$CB$371)</f>
        <v>3296</v>
      </c>
      <c r="G12" s="8">
        <f>SUMIF('Traffic Data'!$F$7:$F$371,$A12,'Traffic Data'!$CF$7:$CF$371)</f>
        <v>3066</v>
      </c>
      <c r="H12" s="8">
        <f>SUMIF('Traffic Data'!$F$7:$F$371,$A12,'Traffic Data'!$CJ$7:$CJ$371)</f>
        <v>2053</v>
      </c>
      <c r="I12" s="41">
        <f t="shared" si="0"/>
        <v>-0.33039791258969342</v>
      </c>
    </row>
    <row r="13" spans="1:9" x14ac:dyDescent="0.25">
      <c r="A13">
        <f t="shared" si="1"/>
        <v>40725</v>
      </c>
      <c r="B13">
        <v>2011</v>
      </c>
      <c r="C13" s="43">
        <f>'Traffic Data'!BS16</f>
        <v>40725</v>
      </c>
      <c r="D13" s="8">
        <f>SUMIF('Traffic Data'!$F$7:$F$371,$A13,'Traffic Data'!$BT$7:$BT$371)</f>
        <v>7869</v>
      </c>
      <c r="E13" s="8">
        <f>SUMIF('Traffic Data'!$F$7:$F$371,$A13,'Traffic Data'!$BX$7:$BX$371)</f>
        <v>7745</v>
      </c>
      <c r="F13" s="8">
        <f>SUMIF('Traffic Data'!$F$7:$F$371,$A13,'Traffic Data'!$CB$7:$CB$371)</f>
        <v>7600</v>
      </c>
      <c r="G13" s="8">
        <f>SUMIF('Traffic Data'!$F$7:$F$371,$A13,'Traffic Data'!$CF$7:$CF$371)</f>
        <v>7154</v>
      </c>
      <c r="H13" s="8">
        <f>SUMIF('Traffic Data'!$F$7:$F$371,$A13,'Traffic Data'!$CJ$7:$CJ$371)</f>
        <v>4160</v>
      </c>
      <c r="I13" s="41">
        <f t="shared" si="0"/>
        <v>-0.41850712887894886</v>
      </c>
    </row>
    <row r="14" spans="1:9" x14ac:dyDescent="0.25">
      <c r="A14">
        <f t="shared" si="1"/>
        <v>40756</v>
      </c>
      <c r="B14">
        <v>2011</v>
      </c>
      <c r="C14" s="43">
        <f>'Traffic Data'!BS17</f>
        <v>40756</v>
      </c>
      <c r="D14" s="8">
        <f>SUMIF('Traffic Data'!$F$7:$F$371,$A14,'Traffic Data'!$BT$7:$BT$371)</f>
        <v>7485</v>
      </c>
      <c r="E14" s="8">
        <f>SUMIF('Traffic Data'!$F$7:$F$371,$A14,'Traffic Data'!$BX$7:$BX$371)</f>
        <v>7330</v>
      </c>
      <c r="F14" s="8">
        <f>SUMIF('Traffic Data'!$F$7:$F$371,$A14,'Traffic Data'!$CB$7:$CB$371)</f>
        <v>7175</v>
      </c>
      <c r="G14" s="8">
        <f>SUMIF('Traffic Data'!$F$7:$F$371,$A14,'Traffic Data'!$CF$7:$CF$371)</f>
        <v>6775</v>
      </c>
      <c r="H14" s="8">
        <f>SUMIF('Traffic Data'!$F$7:$F$371,$A14,'Traffic Data'!$CJ$7:$CJ$371)</f>
        <v>3749</v>
      </c>
      <c r="I14" s="41">
        <f>(H14-G14)/G14</f>
        <v>-0.44664206642066423</v>
      </c>
    </row>
    <row r="15" spans="1:9" x14ac:dyDescent="0.25">
      <c r="A15">
        <f t="shared" si="1"/>
        <v>40787</v>
      </c>
      <c r="B15">
        <v>2011</v>
      </c>
      <c r="C15" s="43">
        <f>'Traffic Data'!BS18</f>
        <v>40787</v>
      </c>
      <c r="D15" s="8">
        <f>SUMIF('Traffic Data'!$F$7:$F$371,$A15,'Traffic Data'!$BT$7:$BT$371)</f>
        <v>7815</v>
      </c>
      <c r="E15" s="8">
        <f>SUMIF('Traffic Data'!$F$7:$F$371,$A15,'Traffic Data'!$BX$7:$BX$371)</f>
        <v>7598</v>
      </c>
      <c r="F15" s="8">
        <f>SUMIF('Traffic Data'!$F$7:$F$371,$A15,'Traffic Data'!$CB$7:$CB$371)</f>
        <v>7454</v>
      </c>
      <c r="G15" s="8">
        <f>SUMIF('Traffic Data'!$F$7:$F$371,$A15,'Traffic Data'!$CF$7:$CF$371)</f>
        <v>6952</v>
      </c>
      <c r="H15" s="8">
        <f>SUMIF('Traffic Data'!$F$7:$F$371,$A15,'Traffic Data'!$CJ$7:$CJ$371)</f>
        <v>4068</v>
      </c>
      <c r="I15" s="41">
        <f>(H15-G15)/G15</f>
        <v>-0.41484464902186419</v>
      </c>
    </row>
    <row r="16" spans="1:9" x14ac:dyDescent="0.25">
      <c r="A16">
        <f t="shared" ref="A16:A27" si="2">C16</f>
        <v>40817</v>
      </c>
      <c r="B16">
        <v>2012</v>
      </c>
      <c r="C16" s="43">
        <f>'Traffic Data'!BS19</f>
        <v>40817</v>
      </c>
      <c r="D16" s="8">
        <f>SUMIF('Traffic Data'!$F$7:$F$371,$A16,'Traffic Data'!$BT$7:$BT$371)</f>
        <v>8800</v>
      </c>
      <c r="E16" s="8">
        <f>SUMIF('Traffic Data'!$F$7:$F$371,$A16,'Traffic Data'!$BX$7:$BX$371)</f>
        <v>8170</v>
      </c>
      <c r="F16" s="8">
        <f>SUMIF('Traffic Data'!$F$7:$F$371,$A16,'Traffic Data'!$CB$7:$CB$371)</f>
        <v>8005</v>
      </c>
      <c r="G16" s="8">
        <f>SUMIF('Traffic Data'!$F$7:$F$371,$A16,'Traffic Data'!$CF$7:$CF$371)</f>
        <v>7458</v>
      </c>
      <c r="H16" s="8">
        <f>SUMIF('Traffic Data'!$F$7:$F$371,$A16,'Traffic Data'!$CJ$7:$CJ$371)</f>
        <v>4020</v>
      </c>
      <c r="I16" s="41">
        <f t="shared" ref="I16:I27" si="3">(H16-G16)/G16</f>
        <v>-0.46098149637972646</v>
      </c>
    </row>
    <row r="17" spans="1:9" x14ac:dyDescent="0.25">
      <c r="A17">
        <f t="shared" si="2"/>
        <v>40848</v>
      </c>
      <c r="B17">
        <v>2013</v>
      </c>
      <c r="C17" s="43">
        <f>'Traffic Data'!BS20</f>
        <v>40848</v>
      </c>
      <c r="D17" s="8">
        <f>SUMIF('Traffic Data'!$F$7:$F$371,$A17,'Traffic Data'!$BT$7:$BT$371)</f>
        <v>11103</v>
      </c>
      <c r="E17" s="8">
        <f>SUMIF('Traffic Data'!$F$7:$F$371,$A17,'Traffic Data'!$BX$7:$BX$371)</f>
        <v>10203</v>
      </c>
      <c r="F17" s="8">
        <f>SUMIF('Traffic Data'!$F$7:$F$371,$A17,'Traffic Data'!$CB$7:$CB$371)</f>
        <v>9924</v>
      </c>
      <c r="G17" s="8">
        <f>SUMIF('Traffic Data'!$F$7:$F$371,$A17,'Traffic Data'!$CF$7:$CF$371)</f>
        <v>9228</v>
      </c>
      <c r="H17" s="8">
        <f>SUMIF('Traffic Data'!$F$7:$F$371,$A17,'Traffic Data'!$CJ$7:$CJ$371)</f>
        <v>5963</v>
      </c>
      <c r="I17" s="41">
        <f t="shared" si="3"/>
        <v>-0.35381447767663632</v>
      </c>
    </row>
    <row r="18" spans="1:9" x14ac:dyDescent="0.25">
      <c r="A18">
        <f t="shared" si="2"/>
        <v>40878</v>
      </c>
      <c r="B18">
        <v>2014</v>
      </c>
      <c r="C18" s="43">
        <f>'Traffic Data'!BS21</f>
        <v>40878</v>
      </c>
      <c r="D18" s="8">
        <f>SUMIF('Traffic Data'!$F$7:$F$371,$A18,'Traffic Data'!$BT$7:$BT$371)</f>
        <v>9847</v>
      </c>
      <c r="E18" s="8">
        <f>SUMIF('Traffic Data'!$F$7:$F$371,$A18,'Traffic Data'!$BX$7:$BX$371)</f>
        <v>8854</v>
      </c>
      <c r="F18" s="8">
        <f>SUMIF('Traffic Data'!$F$7:$F$371,$A18,'Traffic Data'!$CB$7:$CB$371)</f>
        <v>8599</v>
      </c>
      <c r="G18" s="8">
        <f>SUMIF('Traffic Data'!$F$7:$F$371,$A18,'Traffic Data'!$CF$7:$CF$371)</f>
        <v>7843</v>
      </c>
      <c r="H18" s="8">
        <f>SUMIF('Traffic Data'!$F$7:$F$371,$A18,'Traffic Data'!$CJ$7:$CJ$371)</f>
        <v>4725</v>
      </c>
      <c r="I18" s="41">
        <f t="shared" si="3"/>
        <v>-0.39755195715925029</v>
      </c>
    </row>
    <row r="19" spans="1:9" x14ac:dyDescent="0.25">
      <c r="A19">
        <f t="shared" si="2"/>
        <v>40909</v>
      </c>
      <c r="B19">
        <v>2015</v>
      </c>
      <c r="C19" s="43">
        <f>'Traffic Data'!BS22</f>
        <v>40909</v>
      </c>
      <c r="D19" s="8">
        <f>SUMIF('Traffic Data'!$F$7:$F$371,$A19,'Traffic Data'!$BT$7:$BT$371)</f>
        <v>15633</v>
      </c>
      <c r="E19" s="8">
        <f>SUMIF('Traffic Data'!$F$7:$F$371,$A19,'Traffic Data'!$BX$7:$BX$371)</f>
        <v>14131</v>
      </c>
      <c r="F19" s="8">
        <f>SUMIF('Traffic Data'!$F$7:$F$371,$A19,'Traffic Data'!$CB$7:$CB$371)</f>
        <v>13700</v>
      </c>
      <c r="G19" s="8">
        <f>SUMIF('Traffic Data'!$F$7:$F$371,$A19,'Traffic Data'!$CF$7:$CF$371)</f>
        <v>12537</v>
      </c>
      <c r="H19" s="8">
        <f>SUMIF('Traffic Data'!$F$7:$F$371,$A19,'Traffic Data'!$CJ$7:$CJ$371)</f>
        <v>9159</v>
      </c>
      <c r="I19" s="41">
        <f t="shared" si="3"/>
        <v>-0.26944245034697295</v>
      </c>
    </row>
    <row r="20" spans="1:9" x14ac:dyDescent="0.25">
      <c r="A20">
        <f t="shared" si="2"/>
        <v>40940</v>
      </c>
      <c r="B20">
        <v>2016</v>
      </c>
      <c r="C20" s="43">
        <f>'Traffic Data'!BS23</f>
        <v>40940</v>
      </c>
      <c r="D20" s="8">
        <f>SUMIF('Traffic Data'!$F$7:$F$371,$A20,'Traffic Data'!$BT$7:$BT$371)</f>
        <v>11174</v>
      </c>
      <c r="E20" s="8">
        <f>SUMIF('Traffic Data'!$F$7:$F$371,$A20,'Traffic Data'!$BX$7:$BX$371)</f>
        <v>10073</v>
      </c>
      <c r="F20" s="8">
        <f>SUMIF('Traffic Data'!$F$7:$F$371,$A20,'Traffic Data'!$CB$7:$CB$371)</f>
        <v>9651</v>
      </c>
      <c r="G20" s="8">
        <f>SUMIF('Traffic Data'!$F$7:$F$371,$A20,'Traffic Data'!$CF$7:$CF$371)</f>
        <v>8958</v>
      </c>
      <c r="H20" s="8">
        <f>SUMIF('Traffic Data'!$F$7:$F$371,$A20,'Traffic Data'!$CJ$7:$CJ$371)</f>
        <v>5796</v>
      </c>
      <c r="I20" s="41">
        <f t="shared" si="3"/>
        <v>-0.35298057602143335</v>
      </c>
    </row>
    <row r="21" spans="1:9" x14ac:dyDescent="0.25">
      <c r="A21">
        <f t="shared" si="2"/>
        <v>40969</v>
      </c>
      <c r="B21">
        <v>2017</v>
      </c>
      <c r="C21" s="43">
        <f>'Traffic Data'!BS24</f>
        <v>40969</v>
      </c>
      <c r="D21" s="8">
        <f>SUMIF('Traffic Data'!$F$7:$F$371,$A21,'Traffic Data'!$BT$7:$BT$371)</f>
        <v>12380</v>
      </c>
      <c r="E21" s="8">
        <f>SUMIF('Traffic Data'!$F$7:$F$371,$A21,'Traffic Data'!$BX$7:$BX$371)</f>
        <v>11449</v>
      </c>
      <c r="F21" s="8">
        <f>SUMIF('Traffic Data'!$F$7:$F$371,$A21,'Traffic Data'!$CB$7:$CB$371)</f>
        <v>11220</v>
      </c>
      <c r="G21" s="8">
        <f>SUMIF('Traffic Data'!$F$7:$F$371,$A21,'Traffic Data'!$CF$7:$CF$371)</f>
        <v>10064</v>
      </c>
      <c r="H21" s="8">
        <f>SUMIF('Traffic Data'!$F$7:$F$371,$A21,'Traffic Data'!$CJ$7:$CJ$371)</f>
        <v>6862</v>
      </c>
      <c r="I21" s="41">
        <f t="shared" si="3"/>
        <v>-0.31816375198728142</v>
      </c>
    </row>
    <row r="22" spans="1:9" x14ac:dyDescent="0.25">
      <c r="A22">
        <f t="shared" si="2"/>
        <v>41000</v>
      </c>
      <c r="B22">
        <v>2018</v>
      </c>
      <c r="C22" s="43">
        <f>'Traffic Data'!BS25</f>
        <v>41000</v>
      </c>
      <c r="D22" s="8">
        <f>SUMIF('Traffic Data'!$F$7:$F$371,$A22,'Traffic Data'!$BT$7:$BT$371)</f>
        <v>12732</v>
      </c>
      <c r="E22" s="8">
        <f>SUMIF('Traffic Data'!$F$7:$F$371,$A22,'Traffic Data'!$BX$7:$BX$371)</f>
        <v>11466</v>
      </c>
      <c r="F22" s="8">
        <f>SUMIF('Traffic Data'!$F$7:$F$371,$A22,'Traffic Data'!$CB$7:$CB$371)</f>
        <v>11156</v>
      </c>
      <c r="G22" s="8">
        <f>SUMIF('Traffic Data'!$F$7:$F$371,$A22,'Traffic Data'!$CF$7:$CF$371)</f>
        <v>10056</v>
      </c>
      <c r="H22" s="8">
        <f>SUMIF('Traffic Data'!$F$7:$F$371,$A22,'Traffic Data'!$CJ$7:$CJ$371)</f>
        <v>7936</v>
      </c>
      <c r="I22" s="41">
        <f t="shared" si="3"/>
        <v>-0.21081941129673826</v>
      </c>
    </row>
    <row r="23" spans="1:9" x14ac:dyDescent="0.25">
      <c r="A23">
        <f t="shared" si="2"/>
        <v>41030</v>
      </c>
      <c r="B23">
        <v>2019</v>
      </c>
      <c r="C23" s="43">
        <f>'Traffic Data'!BS26</f>
        <v>41030</v>
      </c>
      <c r="D23" s="8">
        <f>SUMIF('Traffic Data'!$F$7:$F$371,$A23,'Traffic Data'!$BT$7:$BT$371)</f>
        <v>9118</v>
      </c>
      <c r="E23" s="8">
        <f>SUMIF('Traffic Data'!$F$7:$F$371,$A23,'Traffic Data'!$BX$7:$BX$371)</f>
        <v>8088</v>
      </c>
      <c r="F23" s="8">
        <f>SUMIF('Traffic Data'!$F$7:$F$371,$A23,'Traffic Data'!$CB$7:$CB$371)</f>
        <v>7894</v>
      </c>
      <c r="G23" s="8">
        <f>SUMIF('Traffic Data'!$F$7:$F$371,$A23,'Traffic Data'!$CF$7:$CF$371)</f>
        <v>7108</v>
      </c>
      <c r="H23" s="8">
        <f>SUMIF('Traffic Data'!$F$7:$F$371,$A23,'Traffic Data'!$CJ$7:$CJ$371)</f>
        <v>6528</v>
      </c>
      <c r="I23" s="41">
        <f t="shared" si="3"/>
        <v>-8.1598199212155317E-2</v>
      </c>
    </row>
    <row r="24" spans="1:9" x14ac:dyDescent="0.25">
      <c r="A24">
        <f t="shared" si="2"/>
        <v>41061</v>
      </c>
      <c r="B24">
        <v>2020</v>
      </c>
      <c r="C24" s="43">
        <f>'Traffic Data'!BS27</f>
        <v>41061</v>
      </c>
      <c r="D24" s="8">
        <f>SUMIF('Traffic Data'!$F$7:$F$371,$A24,'Traffic Data'!$BT$7:$BT$371)</f>
        <v>8295</v>
      </c>
      <c r="E24" s="8">
        <f>SUMIF('Traffic Data'!$F$7:$F$371,$A24,'Traffic Data'!$BX$7:$BX$371)</f>
        <v>7403</v>
      </c>
      <c r="F24" s="8">
        <f>SUMIF('Traffic Data'!$F$7:$F$371,$A24,'Traffic Data'!$CB$7:$CB$371)</f>
        <v>7178</v>
      </c>
      <c r="G24" s="8">
        <f>SUMIF('Traffic Data'!$F$7:$F$371,$A24,'Traffic Data'!$CF$7:$CF$371)</f>
        <v>6512</v>
      </c>
      <c r="H24" s="8">
        <f>SUMIF('Traffic Data'!$F$7:$F$371,$A24,'Traffic Data'!$CJ$7:$CJ$371)</f>
        <v>6038</v>
      </c>
      <c r="I24" s="41">
        <f t="shared" si="3"/>
        <v>-7.2788697788697787E-2</v>
      </c>
    </row>
    <row r="25" spans="1:9" x14ac:dyDescent="0.25">
      <c r="A25">
        <f t="shared" si="2"/>
        <v>41091</v>
      </c>
      <c r="B25">
        <v>2021</v>
      </c>
      <c r="C25" s="43">
        <f>'Traffic Data'!BS28</f>
        <v>41091</v>
      </c>
      <c r="D25" s="8">
        <f>SUMIF('Traffic Data'!$F$7:$F$371,$A25,'Traffic Data'!$BT$7:$BT$371)</f>
        <v>8021</v>
      </c>
      <c r="E25" s="8">
        <f>SUMIF('Traffic Data'!$F$7:$F$371,$A25,'Traffic Data'!$BX$7:$BX$371)</f>
        <v>7093</v>
      </c>
      <c r="F25" s="8">
        <f>SUMIF('Traffic Data'!$F$7:$F$371,$A25,'Traffic Data'!$CB$7:$CB$371)</f>
        <v>6885</v>
      </c>
      <c r="G25" s="8">
        <f>SUMIF('Traffic Data'!$F$7:$F$371,$A25,'Traffic Data'!$CF$7:$CF$371)</f>
        <v>6166</v>
      </c>
      <c r="H25" s="8">
        <f>SUMIF('Traffic Data'!$F$7:$F$371,$A25,'Traffic Data'!$CJ$7:$CJ$371)</f>
        <v>5620</v>
      </c>
      <c r="I25" s="41">
        <f t="shared" si="3"/>
        <v>-8.8550113525786567E-2</v>
      </c>
    </row>
    <row r="26" spans="1:9" x14ac:dyDescent="0.25">
      <c r="A26">
        <f t="shared" si="2"/>
        <v>41122</v>
      </c>
      <c r="B26">
        <v>2022</v>
      </c>
      <c r="C26" s="43">
        <f>'Traffic Data'!BS29</f>
        <v>41122</v>
      </c>
      <c r="D26" s="8">
        <f>SUMIF('Traffic Data'!$F$7:$F$371,$A26,'Traffic Data'!$BT$7:$BT$371)</f>
        <v>8134</v>
      </c>
      <c r="E26" s="8">
        <f>SUMIF('Traffic Data'!$F$7:$F$371,$A26,'Traffic Data'!$BX$7:$BX$371)</f>
        <v>6957</v>
      </c>
      <c r="F26" s="8">
        <f>SUMIF('Traffic Data'!$F$7:$F$371,$A26,'Traffic Data'!$CB$7:$CB$371)</f>
        <v>6770</v>
      </c>
      <c r="G26" s="8">
        <f>SUMIF('Traffic Data'!$F$7:$F$371,$A26,'Traffic Data'!$CF$7:$CF$371)</f>
        <v>6076</v>
      </c>
      <c r="H26" s="8">
        <f>SUMIF('Traffic Data'!$F$7:$F$371,$A26,'Traffic Data'!$CJ$7:$CJ$371)</f>
        <v>5564</v>
      </c>
      <c r="I26" s="41">
        <f t="shared" si="3"/>
        <v>-8.4265964450296243E-2</v>
      </c>
    </row>
    <row r="27" spans="1:9" x14ac:dyDescent="0.25">
      <c r="A27">
        <f t="shared" si="2"/>
        <v>41153</v>
      </c>
      <c r="B27">
        <v>2023</v>
      </c>
      <c r="C27" s="43">
        <f>'Traffic Data'!BS30</f>
        <v>41153</v>
      </c>
      <c r="D27" s="8">
        <f>SUMIF('Traffic Data'!$F$7:$F$371,$A27,'Traffic Data'!$BT$7:$BT$371)</f>
        <v>8384</v>
      </c>
      <c r="E27" s="8">
        <f>SUMIF('Traffic Data'!$F$7:$F$371,$A27,'Traffic Data'!$BX$7:$BX$371)</f>
        <v>5406</v>
      </c>
      <c r="F27" s="8">
        <f>SUMIF('Traffic Data'!$F$7:$F$371,$A27,'Traffic Data'!$CB$7:$CB$371)</f>
        <v>7284</v>
      </c>
      <c r="G27" s="8">
        <f>SUMIF('Traffic Data'!$F$7:$F$371,$A27,'Traffic Data'!$CF$7:$CF$371)</f>
        <v>6546</v>
      </c>
      <c r="H27" s="8">
        <f>SUMIF('Traffic Data'!$F$7:$F$371,$A27,'Traffic Data'!$CJ$7:$CJ$371)</f>
        <v>6026</v>
      </c>
      <c r="I27" s="41">
        <f t="shared" si="3"/>
        <v>-7.9437824625725628E-2</v>
      </c>
    </row>
    <row r="29" spans="1:9" x14ac:dyDescent="0.25">
      <c r="A29" s="6" t="s">
        <v>21</v>
      </c>
      <c r="B29">
        <v>2011</v>
      </c>
      <c r="C29" s="38" t="s">
        <v>47</v>
      </c>
      <c r="D29" s="8">
        <f>SUM(D4:D15)</f>
        <v>86470</v>
      </c>
      <c r="E29" s="8">
        <f>SUM(E4:E15)</f>
        <v>85274</v>
      </c>
      <c r="F29" s="8">
        <f>SUM(F4:F15)</f>
        <v>83047</v>
      </c>
      <c r="G29" s="8">
        <f>SUM(G4:G15)</f>
        <v>75912</v>
      </c>
      <c r="H29" s="8">
        <f>SUM(H4:H15)</f>
        <v>52365</v>
      </c>
    </row>
  </sheetData>
  <phoneticPr fontId="3" type="noConversion"/>
  <pageMargins left="0.75" right="0.75" top="1" bottom="1" header="0.5" footer="0.5"/>
  <headerFooter alignWithMargins="0"/>
  <customProperties>
    <customPr name="ORB_SHEETNAME"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E0EE5-458E-45E7-81B0-52272CB386E6}">
  <dimension ref="A1:BL348"/>
  <sheetViews>
    <sheetView workbookViewId="0">
      <selection activeCell="O30" sqref="O30"/>
    </sheetView>
  </sheetViews>
  <sheetFormatPr defaultRowHeight="13.2" x14ac:dyDescent="0.25"/>
  <cols>
    <col min="1" max="1" width="13.88671875" customWidth="1"/>
    <col min="2" max="2" width="43.109375" customWidth="1"/>
    <col min="3" max="3" width="2.109375" style="3" customWidth="1"/>
    <col min="4" max="4" width="8" hidden="1" customWidth="1"/>
    <col min="5" max="5" width="8.44140625" hidden="1" customWidth="1"/>
    <col min="6" max="6" width="10.109375" style="27" bestFit="1" customWidth="1"/>
    <col min="7" max="7" width="7.5546875" hidden="1" customWidth="1"/>
    <col min="8" max="8" width="0" hidden="1" customWidth="1"/>
    <col min="9" max="9" width="12" hidden="1" customWidth="1"/>
    <col min="10" max="10" width="2" style="3" customWidth="1"/>
    <col min="11" max="11" width="10.109375" bestFit="1" customWidth="1"/>
    <col min="12" max="12" width="15.6640625" customWidth="1"/>
    <col min="13" max="13" width="13.88671875" customWidth="1"/>
    <col min="14" max="14" width="13.6640625" customWidth="1"/>
    <col min="15" max="15" width="17.33203125" customWidth="1"/>
    <col min="16" max="16" width="13.44140625" customWidth="1"/>
    <col min="17" max="17" width="20.109375" customWidth="1"/>
    <col min="18" max="18" width="21.88671875" customWidth="1"/>
    <col min="19" max="19" width="30.109375" hidden="1" customWidth="1"/>
    <col min="20" max="20" width="28.33203125" hidden="1" customWidth="1"/>
    <col min="21" max="21" width="21.6640625" hidden="1" customWidth="1"/>
    <col min="22" max="22" width="17.44140625" hidden="1" customWidth="1"/>
    <col min="23" max="30" width="9.109375" hidden="1" customWidth="1"/>
    <col min="31" max="31" width="2" style="3" customWidth="1"/>
    <col min="32" max="32" width="10.109375" bestFit="1" customWidth="1"/>
    <col min="33" max="33" width="14" customWidth="1"/>
    <col min="34" max="34" width="12.33203125" customWidth="1"/>
    <col min="35" max="35" width="11.109375" customWidth="1"/>
    <col min="36" max="36" width="16.44140625" customWidth="1"/>
    <col min="37" max="37" width="13.109375" customWidth="1"/>
    <col min="38" max="39" width="20.88671875" customWidth="1"/>
    <col min="40" max="40" width="11.88671875" customWidth="1"/>
    <col min="41" max="41" width="12" customWidth="1"/>
    <col min="42" max="42" width="2" style="3" customWidth="1"/>
    <col min="43" max="43" width="11" customWidth="1"/>
    <col min="44" max="44" width="13.88671875" customWidth="1"/>
    <col min="45" max="45" width="12" customWidth="1"/>
    <col min="46" max="46" width="10.88671875" customWidth="1"/>
    <col min="47" max="47" width="17.88671875" customWidth="1"/>
    <col min="48" max="48" width="12.5546875" customWidth="1"/>
    <col min="49" max="49" width="20.6640625" customWidth="1"/>
    <col min="50" max="50" width="20" customWidth="1"/>
    <col min="51" max="51" width="12" customWidth="1"/>
    <col min="52" max="52" width="12.33203125" customWidth="1"/>
    <col min="53" max="53" width="2" style="3" customWidth="1"/>
    <col min="54" max="54" width="10.109375" bestFit="1" customWidth="1"/>
    <col min="55" max="55" width="14.33203125" customWidth="1"/>
    <col min="56" max="56" width="12.44140625" customWidth="1"/>
    <col min="57" max="57" width="11.33203125" customWidth="1"/>
    <col min="58" max="58" width="16.44140625" customWidth="1"/>
    <col min="59" max="59" width="11.5546875" customWidth="1"/>
    <col min="60" max="60" width="20.109375" customWidth="1"/>
    <col min="61" max="61" width="20.44140625" customWidth="1"/>
    <col min="62" max="62" width="12" customWidth="1"/>
    <col min="63" max="63" width="12.33203125" customWidth="1"/>
    <col min="64" max="64" width="2" style="3" customWidth="1"/>
  </cols>
  <sheetData>
    <row r="1" spans="1:63" x14ac:dyDescent="0.25">
      <c r="A1" t="s">
        <v>0</v>
      </c>
      <c r="B1" t="str">
        <f>Config!B1</f>
        <v>canadapostca-global</v>
      </c>
      <c r="D1" s="3"/>
      <c r="E1" s="3"/>
      <c r="F1" s="25"/>
      <c r="G1" s="3"/>
      <c r="H1" s="3"/>
      <c r="I1" s="3"/>
      <c r="K1" s="3"/>
      <c r="L1" s="3"/>
      <c r="M1" s="3"/>
      <c r="N1" s="3"/>
      <c r="O1" s="3"/>
      <c r="P1" s="3"/>
      <c r="Q1" s="3"/>
      <c r="R1" s="3"/>
      <c r="S1" s="3"/>
      <c r="T1" s="3"/>
      <c r="U1" s="3"/>
      <c r="V1" s="3"/>
      <c r="AF1" s="3"/>
      <c r="AG1" s="3"/>
      <c r="AH1" s="3"/>
      <c r="AI1" s="3"/>
      <c r="AJ1" s="3"/>
      <c r="AK1" s="3"/>
      <c r="AL1" s="3"/>
      <c r="AM1" s="3"/>
      <c r="AN1" s="3"/>
      <c r="AO1" s="3"/>
      <c r="AQ1" s="3"/>
      <c r="AR1" s="3"/>
      <c r="AS1" s="3"/>
      <c r="AT1" s="3"/>
      <c r="AU1" s="3"/>
      <c r="AV1" s="3"/>
      <c r="AW1" s="3"/>
      <c r="AX1" s="3"/>
      <c r="AY1" s="3"/>
      <c r="AZ1" s="3"/>
      <c r="BB1" s="3"/>
      <c r="BC1" s="3"/>
      <c r="BD1" s="3"/>
      <c r="BE1" s="3"/>
      <c r="BF1" s="3"/>
      <c r="BG1" s="3"/>
      <c r="BH1" s="3"/>
      <c r="BI1" s="3"/>
      <c r="BJ1" s="3"/>
      <c r="BK1" s="3"/>
    </row>
    <row r="2" spans="1:63" x14ac:dyDescent="0.25">
      <c r="A2" s="3"/>
      <c r="B2" s="3"/>
      <c r="D2" s="3"/>
      <c r="E2" s="3"/>
      <c r="F2" s="25"/>
      <c r="G2" s="3"/>
      <c r="H2" s="3"/>
      <c r="I2" s="3"/>
      <c r="K2" s="3"/>
      <c r="L2" s="3"/>
      <c r="M2" s="3"/>
      <c r="N2" s="3"/>
      <c r="O2" s="3"/>
      <c r="P2" s="3"/>
      <c r="Q2" s="3"/>
      <c r="R2" s="3"/>
      <c r="S2" s="3"/>
      <c r="T2" s="3"/>
      <c r="U2" s="3"/>
      <c r="V2" s="3"/>
      <c r="AF2" s="3"/>
      <c r="AG2" s="3"/>
      <c r="AH2" s="3"/>
      <c r="AI2" s="3"/>
      <c r="AJ2" s="3"/>
      <c r="AK2" s="3"/>
      <c r="AL2" s="3"/>
      <c r="AM2" s="3"/>
      <c r="AN2" s="3"/>
      <c r="AO2" s="3"/>
      <c r="AQ2" s="3"/>
      <c r="AR2" s="3"/>
      <c r="AS2" s="3"/>
      <c r="AT2" s="3"/>
      <c r="AU2" s="3"/>
      <c r="AV2" s="3"/>
      <c r="AW2" s="3"/>
      <c r="AX2" s="3"/>
      <c r="AY2" s="3"/>
      <c r="AZ2" s="3"/>
      <c r="BB2" s="3"/>
      <c r="BC2" s="3"/>
      <c r="BD2" s="3"/>
      <c r="BE2" s="3"/>
      <c r="BF2" s="3"/>
      <c r="BG2" s="3"/>
      <c r="BH2" s="3"/>
      <c r="BI2" s="3"/>
      <c r="BJ2" s="3"/>
      <c r="BK2" s="3"/>
    </row>
    <row r="3" spans="1:63" x14ac:dyDescent="0.25">
      <c r="A3" t="s">
        <v>5</v>
      </c>
      <c r="B3" s="4">
        <f>Config!B3</f>
        <v>40269</v>
      </c>
      <c r="D3" s="3"/>
      <c r="E3" s="3"/>
      <c r="F3" s="25"/>
      <c r="G3" s="3"/>
      <c r="H3" s="3"/>
      <c r="I3" s="3"/>
      <c r="K3" s="3"/>
      <c r="L3" s="3"/>
      <c r="M3" s="3"/>
      <c r="N3" s="3"/>
      <c r="O3" s="3"/>
      <c r="P3" s="3"/>
      <c r="Q3" s="3"/>
      <c r="R3" s="3"/>
      <c r="S3" s="3"/>
      <c r="T3" s="3"/>
      <c r="U3" s="3"/>
      <c r="V3" s="3"/>
      <c r="AF3" s="3"/>
      <c r="AG3" s="3"/>
      <c r="AH3" s="3"/>
      <c r="AI3" s="3"/>
      <c r="AJ3" s="3"/>
      <c r="AK3" s="3"/>
      <c r="AL3" s="3"/>
      <c r="AM3" s="3"/>
      <c r="AN3" s="3"/>
      <c r="AO3" s="3"/>
      <c r="AQ3" s="3"/>
      <c r="AR3" s="3"/>
      <c r="AS3" s="3"/>
      <c r="AT3" s="3"/>
      <c r="AU3" s="3"/>
      <c r="AV3" s="3"/>
      <c r="AW3" s="3"/>
      <c r="AX3" s="3"/>
      <c r="AY3" s="3"/>
      <c r="AZ3" s="3"/>
      <c r="BB3" s="3"/>
      <c r="BC3" s="3"/>
      <c r="BD3" s="3"/>
      <c r="BE3" s="3"/>
      <c r="BF3" s="3"/>
      <c r="BG3" s="3"/>
      <c r="BH3" s="3"/>
      <c r="BI3" s="3"/>
      <c r="BJ3" s="3"/>
      <c r="BK3" s="3"/>
    </row>
    <row r="4" spans="1:63" x14ac:dyDescent="0.25">
      <c r="A4" t="s">
        <v>6</v>
      </c>
      <c r="B4" s="4">
        <f>Config!B4</f>
        <v>40999</v>
      </c>
      <c r="D4" s="3"/>
      <c r="E4" s="3"/>
      <c r="F4" s="25"/>
      <c r="G4" s="3"/>
      <c r="H4" s="3"/>
      <c r="I4" s="3"/>
      <c r="K4" s="3" t="s">
        <v>16</v>
      </c>
      <c r="L4" s="3"/>
      <c r="M4" s="3"/>
      <c r="N4" s="3"/>
      <c r="O4" s="3"/>
      <c r="P4" s="3"/>
      <c r="Q4" s="3"/>
      <c r="R4" s="3"/>
      <c r="S4" s="3"/>
      <c r="T4" s="3"/>
      <c r="U4" s="3"/>
      <c r="V4" s="3"/>
      <c r="AF4" s="3"/>
      <c r="AG4" s="3"/>
      <c r="AH4" s="3"/>
      <c r="AI4" s="3"/>
      <c r="AJ4" s="3"/>
      <c r="AK4" s="3"/>
      <c r="AL4" s="3"/>
      <c r="AM4" s="3"/>
      <c r="AN4" s="3"/>
      <c r="AO4" s="3"/>
      <c r="AQ4" s="3"/>
      <c r="AR4" s="3"/>
      <c r="AS4" s="3"/>
      <c r="AT4" s="3"/>
      <c r="AU4" s="3"/>
      <c r="AV4" s="3"/>
      <c r="AW4" s="3"/>
      <c r="AX4" s="3"/>
      <c r="AY4" s="3"/>
      <c r="AZ4" s="3"/>
      <c r="BB4" s="3"/>
      <c r="BC4" s="3"/>
      <c r="BD4" s="3"/>
      <c r="BE4" s="3"/>
      <c r="BF4" s="3"/>
      <c r="BG4" s="3"/>
      <c r="BH4" s="3"/>
      <c r="BI4" s="3"/>
      <c r="BJ4" s="3"/>
      <c r="BK4" s="3"/>
    </row>
    <row r="5" spans="1:63" x14ac:dyDescent="0.25">
      <c r="A5" s="3"/>
      <c r="B5" s="3"/>
      <c r="D5" s="3"/>
      <c r="E5" s="3"/>
      <c r="F5" s="25"/>
      <c r="G5" s="3"/>
      <c r="H5" s="3"/>
      <c r="I5" s="3"/>
      <c r="K5" s="9" t="str">
        <f>"Conversion Events: " &amp; ORB_V1_sh2_111110035412386</f>
        <v>Conversion Events: cpc.ca: shop</v>
      </c>
      <c r="L5" s="9"/>
      <c r="M5" s="9"/>
      <c r="N5" s="9"/>
      <c r="O5" s="9"/>
      <c r="P5" s="9"/>
      <c r="Q5" s="9"/>
      <c r="R5" s="9"/>
      <c r="S5" s="9"/>
      <c r="T5" s="9"/>
      <c r="U5" s="9"/>
      <c r="V5" s="9"/>
      <c r="AF5" s="48" t="s">
        <v>67</v>
      </c>
      <c r="AG5" s="49"/>
      <c r="AH5" s="49"/>
      <c r="AI5" s="49"/>
      <c r="AJ5" s="49"/>
      <c r="AK5" s="49"/>
      <c r="AL5" s="49"/>
      <c r="AM5" s="49"/>
      <c r="AN5" s="81" t="s">
        <v>72</v>
      </c>
      <c r="AO5" s="81"/>
      <c r="AQ5" s="48" t="s">
        <v>68</v>
      </c>
      <c r="AR5" s="49"/>
      <c r="AS5" s="49"/>
      <c r="AT5" s="49"/>
      <c r="AU5" s="49"/>
      <c r="AV5" s="49"/>
      <c r="AW5" s="49"/>
      <c r="AX5" s="49"/>
      <c r="AY5" s="81" t="s">
        <v>73</v>
      </c>
      <c r="AZ5" s="81"/>
      <c r="BB5" s="48" t="s">
        <v>71</v>
      </c>
      <c r="BC5" s="49"/>
      <c r="BD5" s="49"/>
      <c r="BE5" s="49"/>
      <c r="BF5" s="49"/>
      <c r="BG5" s="49"/>
      <c r="BH5" s="49"/>
      <c r="BI5" s="49"/>
      <c r="BJ5" s="81" t="s">
        <v>74</v>
      </c>
      <c r="BK5" s="81"/>
    </row>
    <row r="6" spans="1:63" x14ac:dyDescent="0.25">
      <c r="A6" s="1" t="s">
        <v>7</v>
      </c>
      <c r="D6" s="2" t="s">
        <v>9</v>
      </c>
      <c r="E6" s="2" t="s">
        <v>8</v>
      </c>
      <c r="F6" s="26" t="s">
        <v>65</v>
      </c>
      <c r="G6" s="2" t="s">
        <v>4</v>
      </c>
      <c r="H6" s="2" t="s">
        <v>2</v>
      </c>
      <c r="I6" s="2" t="s">
        <v>10</v>
      </c>
      <c r="K6" s="1" t="s">
        <v>11</v>
      </c>
      <c r="L6" s="2" t="s">
        <v>35</v>
      </c>
      <c r="M6" s="2" t="s">
        <v>66</v>
      </c>
      <c r="N6" s="2" t="s">
        <v>36</v>
      </c>
      <c r="O6" s="2" t="s">
        <v>37</v>
      </c>
      <c r="P6" s="2" t="s">
        <v>38</v>
      </c>
      <c r="Q6" s="2" t="s">
        <v>39</v>
      </c>
      <c r="R6" s="2" t="s">
        <v>40</v>
      </c>
      <c r="S6" s="2"/>
      <c r="T6" s="2"/>
      <c r="U6" s="2"/>
      <c r="V6" s="2"/>
      <c r="AF6" s="1" t="s">
        <v>11</v>
      </c>
      <c r="AG6" s="2" t="s">
        <v>35</v>
      </c>
      <c r="AH6" s="2" t="s">
        <v>66</v>
      </c>
      <c r="AI6" s="2" t="s">
        <v>36</v>
      </c>
      <c r="AJ6" s="2" t="s">
        <v>37</v>
      </c>
      <c r="AK6" s="2" t="s">
        <v>38</v>
      </c>
      <c r="AL6" s="2" t="s">
        <v>39</v>
      </c>
      <c r="AM6" s="2" t="s">
        <v>40</v>
      </c>
      <c r="AN6" s="2" t="s">
        <v>69</v>
      </c>
      <c r="AO6" s="2" t="s">
        <v>70</v>
      </c>
      <c r="AQ6" s="1" t="s">
        <v>11</v>
      </c>
      <c r="AR6" s="2" t="s">
        <v>35</v>
      </c>
      <c r="AS6" s="2" t="s">
        <v>66</v>
      </c>
      <c r="AT6" s="2" t="s">
        <v>36</v>
      </c>
      <c r="AU6" s="2" t="s">
        <v>37</v>
      </c>
      <c r="AV6" s="2" t="s">
        <v>38</v>
      </c>
      <c r="AW6" s="2" t="s">
        <v>39</v>
      </c>
      <c r="AX6" s="2" t="s">
        <v>40</v>
      </c>
      <c r="AY6" s="2" t="s">
        <v>69</v>
      </c>
      <c r="AZ6" s="2" t="s">
        <v>70</v>
      </c>
      <c r="BB6" s="1" t="s">
        <v>11</v>
      </c>
      <c r="BC6" s="2" t="s">
        <v>35</v>
      </c>
      <c r="BD6" s="2" t="s">
        <v>66</v>
      </c>
      <c r="BE6" s="2" t="s">
        <v>36</v>
      </c>
      <c r="BF6" s="2" t="s">
        <v>37</v>
      </c>
      <c r="BG6" s="2" t="s">
        <v>38</v>
      </c>
      <c r="BH6" s="2" t="s">
        <v>39</v>
      </c>
      <c r="BI6" s="2" t="s">
        <v>40</v>
      </c>
      <c r="BJ6" s="2" t="s">
        <v>69</v>
      </c>
      <c r="BK6" s="2" t="s">
        <v>70</v>
      </c>
    </row>
    <row r="7" spans="1:63" x14ac:dyDescent="0.25">
      <c r="A7" t="str">
        <f>IF(Config!A7 &lt;&gt; "",Config!A7,"")</f>
        <v>ss1</v>
      </c>
      <c r="B7" t="str">
        <f>IF(Config!B7&lt;&gt;"",Config!B7,"")</f>
        <v>cpc.ca: shop</v>
      </c>
      <c r="D7" s="7">
        <f>IF(K7&lt;&gt;"",1+INT((K7-(DATE(YEAR(K7),1,2)-WEEKDAY(DATE(YEAR(K7),1,1))))/7),"")</f>
        <v>40</v>
      </c>
      <c r="E7" s="6" t="str">
        <f>IF(K7&lt;&gt;"",TEXT(K7,"ddd"),"")</f>
        <v>Fri</v>
      </c>
      <c r="F7" s="27">
        <f>K7</f>
        <v>40452</v>
      </c>
      <c r="G7">
        <f>IF(K7&lt;&gt;"",DAY(K7),"")</f>
        <v>1</v>
      </c>
      <c r="H7">
        <f>IF(K7&lt;&gt;"",YEAR(K7),"")</f>
        <v>2010</v>
      </c>
      <c r="K7" s="5">
        <v>40452</v>
      </c>
      <c r="L7" s="42">
        <v>802006.2</v>
      </c>
      <c r="M7">
        <v>4534</v>
      </c>
      <c r="N7">
        <v>217175</v>
      </c>
      <c r="O7">
        <v>7104</v>
      </c>
      <c r="P7">
        <v>9992</v>
      </c>
      <c r="Q7">
        <v>29428</v>
      </c>
      <c r="R7">
        <v>3146</v>
      </c>
      <c r="AF7" s="5">
        <v>40452</v>
      </c>
      <c r="AG7">
        <v>0</v>
      </c>
      <c r="AH7">
        <v>0</v>
      </c>
      <c r="AI7">
        <v>0</v>
      </c>
      <c r="AJ7">
        <v>0</v>
      </c>
      <c r="AK7">
        <v>0</v>
      </c>
      <c r="AL7">
        <v>0</v>
      </c>
      <c r="AM7">
        <v>0</v>
      </c>
      <c r="AQ7" s="5">
        <v>40452</v>
      </c>
      <c r="AR7">
        <v>0</v>
      </c>
      <c r="AS7">
        <v>0</v>
      </c>
      <c r="AT7">
        <v>0</v>
      </c>
      <c r="AU7">
        <v>0</v>
      </c>
      <c r="AV7">
        <v>0</v>
      </c>
      <c r="AW7">
        <v>0</v>
      </c>
      <c r="AX7">
        <v>0</v>
      </c>
      <c r="BB7" s="5">
        <v>40452</v>
      </c>
      <c r="BC7">
        <v>0</v>
      </c>
      <c r="BD7">
        <v>0</v>
      </c>
      <c r="BE7">
        <v>0</v>
      </c>
      <c r="BF7">
        <v>0</v>
      </c>
      <c r="BG7">
        <v>0</v>
      </c>
      <c r="BH7">
        <v>0</v>
      </c>
      <c r="BI7">
        <v>0</v>
      </c>
    </row>
    <row r="8" spans="1:63" x14ac:dyDescent="0.25">
      <c r="A8" t="str">
        <f>IF(Config!A8 &lt;&gt; "",Config!A8,"")</f>
        <v>ss2</v>
      </c>
      <c r="B8" t="str">
        <f>IF(Config!B8&lt;&gt;"",Config!B8,"")</f>
        <v>cpc.ca: shop &gt; business</v>
      </c>
      <c r="D8" s="7">
        <f t="shared" ref="D8:D67" si="0">IF(K8&lt;&gt;"",1+INT((K8-(DATE(YEAR(K8),1,2)-WEEKDAY(DATE(YEAR(K8),1,1))))/7),"")</f>
        <v>45</v>
      </c>
      <c r="E8" s="6" t="str">
        <f t="shared" ref="E8:E67" si="1">IF(K8&lt;&gt;"",TEXT(K8,"ddd"),"")</f>
        <v>Mon</v>
      </c>
      <c r="F8" s="27">
        <f t="shared" ref="F8:F30" si="2">K8</f>
        <v>40483</v>
      </c>
      <c r="G8">
        <f t="shared" ref="G8:G67" si="3">IF(K8&lt;&gt;"",DAY(K8),"")</f>
        <v>1</v>
      </c>
      <c r="H8">
        <f t="shared" ref="H8:H67" si="4">IF(K8&lt;&gt;"",YEAR(K8),"")</f>
        <v>2010</v>
      </c>
      <c r="K8" s="5">
        <v>40483</v>
      </c>
      <c r="L8" s="42">
        <v>1080700.47</v>
      </c>
      <c r="M8">
        <v>5467</v>
      </c>
      <c r="N8">
        <v>261038</v>
      </c>
      <c r="O8">
        <v>8943</v>
      </c>
      <c r="P8">
        <v>11810</v>
      </c>
      <c r="Q8">
        <v>31025</v>
      </c>
      <c r="R8">
        <v>3364</v>
      </c>
      <c r="AF8" s="5">
        <v>40483</v>
      </c>
      <c r="AG8">
        <v>0</v>
      </c>
      <c r="AH8">
        <v>0</v>
      </c>
      <c r="AI8">
        <v>0</v>
      </c>
      <c r="AJ8">
        <v>0</v>
      </c>
      <c r="AK8">
        <v>0</v>
      </c>
      <c r="AL8">
        <v>0</v>
      </c>
      <c r="AM8">
        <v>0</v>
      </c>
      <c r="AQ8" s="5">
        <v>40483</v>
      </c>
      <c r="AR8">
        <v>0</v>
      </c>
      <c r="AS8">
        <v>0</v>
      </c>
      <c r="AT8">
        <v>0</v>
      </c>
      <c r="AU8">
        <v>0</v>
      </c>
      <c r="AV8">
        <v>0</v>
      </c>
      <c r="AW8">
        <v>0</v>
      </c>
      <c r="AX8">
        <v>0</v>
      </c>
      <c r="BB8" s="5">
        <v>40483</v>
      </c>
      <c r="BC8">
        <v>0</v>
      </c>
      <c r="BD8">
        <v>0</v>
      </c>
      <c r="BE8">
        <v>0</v>
      </c>
      <c r="BF8">
        <v>0</v>
      </c>
      <c r="BG8">
        <v>0</v>
      </c>
      <c r="BH8">
        <v>0</v>
      </c>
      <c r="BI8">
        <v>0</v>
      </c>
    </row>
    <row r="9" spans="1:63" x14ac:dyDescent="0.25">
      <c r="A9" t="str">
        <f>IF(Config!A9 &lt;&gt; "",Config!A9,"")</f>
        <v>ss2</v>
      </c>
      <c r="B9" t="str">
        <f>IF(Config!B9&lt;&gt;"",Config!B9,"")</f>
        <v>cpc.ca: shop &gt; commercial</v>
      </c>
      <c r="D9" s="7">
        <f t="shared" si="0"/>
        <v>49</v>
      </c>
      <c r="E9" s="6" t="str">
        <f t="shared" si="1"/>
        <v>Wed</v>
      </c>
      <c r="F9" s="27">
        <f t="shared" si="2"/>
        <v>40513</v>
      </c>
      <c r="G9">
        <f t="shared" si="3"/>
        <v>1</v>
      </c>
      <c r="H9">
        <f t="shared" si="4"/>
        <v>2010</v>
      </c>
      <c r="K9" s="5">
        <v>40513</v>
      </c>
      <c r="L9" s="42">
        <v>922841.98</v>
      </c>
      <c r="M9">
        <v>4937</v>
      </c>
      <c r="N9">
        <v>227793</v>
      </c>
      <c r="O9">
        <v>8017</v>
      </c>
      <c r="P9">
        <v>11570</v>
      </c>
      <c r="Q9">
        <v>35447</v>
      </c>
      <c r="R9">
        <v>3279</v>
      </c>
      <c r="AF9" s="5">
        <v>40513</v>
      </c>
      <c r="AG9">
        <v>0</v>
      </c>
      <c r="AH9">
        <v>0</v>
      </c>
      <c r="AI9">
        <v>0</v>
      </c>
      <c r="AJ9">
        <v>0</v>
      </c>
      <c r="AK9">
        <v>0</v>
      </c>
      <c r="AL9">
        <v>0</v>
      </c>
      <c r="AM9">
        <v>0</v>
      </c>
      <c r="AQ9" s="5">
        <v>40513</v>
      </c>
      <c r="AR9">
        <v>0</v>
      </c>
      <c r="AS9">
        <v>0</v>
      </c>
      <c r="AT9">
        <v>0</v>
      </c>
      <c r="AU9">
        <v>0</v>
      </c>
      <c r="AV9">
        <v>0</v>
      </c>
      <c r="AW9">
        <v>0</v>
      </c>
      <c r="AX9">
        <v>0</v>
      </c>
      <c r="BB9" s="5">
        <v>40513</v>
      </c>
      <c r="BC9">
        <v>0</v>
      </c>
      <c r="BD9">
        <v>0</v>
      </c>
      <c r="BE9">
        <v>0</v>
      </c>
      <c r="BF9">
        <v>0</v>
      </c>
      <c r="BG9">
        <v>0</v>
      </c>
      <c r="BH9">
        <v>0</v>
      </c>
      <c r="BI9">
        <v>0</v>
      </c>
    </row>
    <row r="10" spans="1:63" x14ac:dyDescent="0.25">
      <c r="A10" t="str">
        <f>IF(Config!A10 &lt;&gt; "",Config!A10,"")</f>
        <v>ss2</v>
      </c>
      <c r="B10" t="str">
        <f>IF(Config!B10&lt;&gt;"",Config!B10,"")</f>
        <v>cpc.ca: shop &gt; personal</v>
      </c>
      <c r="D10" s="7">
        <f t="shared" si="0"/>
        <v>1</v>
      </c>
      <c r="E10" s="6" t="str">
        <f t="shared" si="1"/>
        <v>Sat</v>
      </c>
      <c r="F10" s="27">
        <f t="shared" si="2"/>
        <v>40544</v>
      </c>
      <c r="G10">
        <f t="shared" si="3"/>
        <v>1</v>
      </c>
      <c r="H10">
        <f t="shared" si="4"/>
        <v>2011</v>
      </c>
      <c r="K10" s="5">
        <v>40544</v>
      </c>
      <c r="L10" s="42">
        <v>838971.47</v>
      </c>
      <c r="M10">
        <v>5803</v>
      </c>
      <c r="N10">
        <v>246422</v>
      </c>
      <c r="O10">
        <v>11182</v>
      </c>
      <c r="P10">
        <v>19663</v>
      </c>
      <c r="Q10">
        <v>60906</v>
      </c>
      <c r="R10">
        <v>5139</v>
      </c>
      <c r="AF10" s="5">
        <v>40544</v>
      </c>
      <c r="AG10">
        <v>0</v>
      </c>
      <c r="AH10">
        <v>0</v>
      </c>
      <c r="AI10">
        <v>0</v>
      </c>
      <c r="AJ10">
        <v>0</v>
      </c>
      <c r="AK10">
        <v>0</v>
      </c>
      <c r="AL10">
        <v>0</v>
      </c>
      <c r="AM10">
        <v>0</v>
      </c>
      <c r="AQ10" s="5">
        <v>40544</v>
      </c>
      <c r="AR10">
        <v>0</v>
      </c>
      <c r="AS10">
        <v>0</v>
      </c>
      <c r="AT10">
        <v>0</v>
      </c>
      <c r="AU10">
        <v>0</v>
      </c>
      <c r="AV10">
        <v>0</v>
      </c>
      <c r="AW10">
        <v>0</v>
      </c>
      <c r="AX10">
        <v>0</v>
      </c>
      <c r="BB10" s="5">
        <v>40544</v>
      </c>
      <c r="BC10">
        <v>0</v>
      </c>
      <c r="BD10">
        <v>0</v>
      </c>
      <c r="BE10">
        <v>0</v>
      </c>
      <c r="BF10">
        <v>0</v>
      </c>
      <c r="BG10">
        <v>0</v>
      </c>
      <c r="BH10">
        <v>0</v>
      </c>
      <c r="BI10">
        <v>0</v>
      </c>
    </row>
    <row r="11" spans="1:63" x14ac:dyDescent="0.25">
      <c r="A11" t="str">
        <f>IF(Config!A11 &lt;&gt; "",Config!A11,"")</f>
        <v>ss2</v>
      </c>
      <c r="B11" t="str">
        <f>IF(Config!B11&lt;&gt;"",Config!B11,"")</f>
        <v>cpc.ca: shop &gt; collecting</v>
      </c>
      <c r="D11" s="7">
        <f t="shared" si="0"/>
        <v>6</v>
      </c>
      <c r="E11" s="6" t="str">
        <f t="shared" si="1"/>
        <v>Tue</v>
      </c>
      <c r="F11" s="27">
        <f t="shared" si="2"/>
        <v>40575</v>
      </c>
      <c r="G11">
        <f t="shared" si="3"/>
        <v>1</v>
      </c>
      <c r="H11">
        <f t="shared" si="4"/>
        <v>2011</v>
      </c>
      <c r="K11" s="5">
        <v>40575</v>
      </c>
      <c r="L11" s="42">
        <v>743280.91</v>
      </c>
      <c r="M11">
        <v>4864</v>
      </c>
      <c r="N11">
        <v>205251</v>
      </c>
      <c r="O11">
        <v>9936</v>
      </c>
      <c r="P11">
        <v>13901</v>
      </c>
      <c r="Q11">
        <v>35867</v>
      </c>
      <c r="R11">
        <v>3423</v>
      </c>
      <c r="AF11" s="5">
        <v>40575</v>
      </c>
      <c r="AG11">
        <v>0</v>
      </c>
      <c r="AH11">
        <v>0</v>
      </c>
      <c r="AI11">
        <v>0</v>
      </c>
      <c r="AJ11">
        <v>0</v>
      </c>
      <c r="AK11">
        <v>0</v>
      </c>
      <c r="AL11">
        <v>0</v>
      </c>
      <c r="AM11">
        <v>0</v>
      </c>
      <c r="AQ11" s="5">
        <v>40575</v>
      </c>
      <c r="AR11">
        <v>0</v>
      </c>
      <c r="AS11">
        <v>0</v>
      </c>
      <c r="AT11">
        <v>0</v>
      </c>
      <c r="AU11">
        <v>0</v>
      </c>
      <c r="AV11">
        <v>0</v>
      </c>
      <c r="AW11">
        <v>0</v>
      </c>
      <c r="AX11">
        <v>0</v>
      </c>
      <c r="BB11" s="5">
        <v>40575</v>
      </c>
      <c r="BC11">
        <v>0</v>
      </c>
      <c r="BD11">
        <v>0</v>
      </c>
      <c r="BE11">
        <v>0</v>
      </c>
      <c r="BF11">
        <v>0</v>
      </c>
      <c r="BG11">
        <v>0</v>
      </c>
      <c r="BH11">
        <v>0</v>
      </c>
      <c r="BI11">
        <v>0</v>
      </c>
    </row>
    <row r="12" spans="1:63" x14ac:dyDescent="0.25">
      <c r="A12" t="str">
        <f>IF(Config!A12 &lt;&gt; "",Config!A12,"")</f>
        <v>site</v>
      </c>
      <c r="B12" t="str">
        <f>IF(Config!B12&lt;&gt;"",Config!B12,"")</f>
        <v>cpc.ca</v>
      </c>
      <c r="D12" s="7">
        <f t="shared" si="0"/>
        <v>10</v>
      </c>
      <c r="E12" s="6" t="str">
        <f t="shared" si="1"/>
        <v>Tue</v>
      </c>
      <c r="F12" s="27">
        <f t="shared" si="2"/>
        <v>40603</v>
      </c>
      <c r="G12">
        <f t="shared" si="3"/>
        <v>1</v>
      </c>
      <c r="H12">
        <f t="shared" si="4"/>
        <v>2011</v>
      </c>
      <c r="K12" s="5">
        <v>40603</v>
      </c>
      <c r="L12" s="42">
        <v>1039483.84</v>
      </c>
      <c r="M12">
        <v>5987</v>
      </c>
      <c r="N12">
        <v>267414</v>
      </c>
      <c r="O12">
        <v>13421</v>
      </c>
      <c r="P12">
        <v>13968</v>
      </c>
      <c r="Q12">
        <v>33541</v>
      </c>
      <c r="R12">
        <v>3270</v>
      </c>
      <c r="AF12" s="5">
        <v>40603</v>
      </c>
      <c r="AG12">
        <v>0</v>
      </c>
      <c r="AH12">
        <v>0</v>
      </c>
      <c r="AI12">
        <v>0</v>
      </c>
      <c r="AJ12">
        <v>0</v>
      </c>
      <c r="AK12">
        <v>0</v>
      </c>
      <c r="AL12">
        <v>0</v>
      </c>
      <c r="AM12">
        <v>0</v>
      </c>
      <c r="AQ12" s="5">
        <v>40603</v>
      </c>
      <c r="AR12">
        <v>0</v>
      </c>
      <c r="AS12">
        <v>0</v>
      </c>
      <c r="AT12">
        <v>0</v>
      </c>
      <c r="AU12">
        <v>0</v>
      </c>
      <c r="AV12">
        <v>0</v>
      </c>
      <c r="AW12">
        <v>0</v>
      </c>
      <c r="AX12">
        <v>0</v>
      </c>
      <c r="BB12" s="5">
        <v>40603</v>
      </c>
      <c r="BC12">
        <v>0</v>
      </c>
      <c r="BD12">
        <v>0</v>
      </c>
      <c r="BE12">
        <v>0</v>
      </c>
      <c r="BF12">
        <v>0</v>
      </c>
      <c r="BG12">
        <v>0</v>
      </c>
      <c r="BH12">
        <v>0</v>
      </c>
      <c r="BI12">
        <v>0</v>
      </c>
    </row>
    <row r="13" spans="1:63" x14ac:dyDescent="0.25">
      <c r="A13" t="str">
        <f>IF(Config!A13 &lt;&gt; "",Config!A13,"")</f>
        <v>basic page</v>
      </c>
      <c r="B13" t="str">
        <f>IF(Config!B13&lt;&gt;"",Config!B13,"")</f>
        <v>cpc.ca: shop &gt; checkout &gt; address information</v>
      </c>
      <c r="D13" s="7">
        <f t="shared" si="0"/>
        <v>14</v>
      </c>
      <c r="E13" s="6" t="str">
        <f t="shared" si="1"/>
        <v>Fri</v>
      </c>
      <c r="F13" s="27">
        <f t="shared" si="2"/>
        <v>40634</v>
      </c>
      <c r="G13">
        <f t="shared" si="3"/>
        <v>1</v>
      </c>
      <c r="H13">
        <f t="shared" si="4"/>
        <v>2011</v>
      </c>
      <c r="K13" s="5">
        <v>40634</v>
      </c>
      <c r="L13" s="42">
        <v>910968.43</v>
      </c>
      <c r="M13">
        <v>5682</v>
      </c>
      <c r="N13">
        <v>228846</v>
      </c>
      <c r="O13">
        <v>12397</v>
      </c>
      <c r="P13">
        <v>12811</v>
      </c>
      <c r="Q13">
        <v>39308</v>
      </c>
      <c r="R13">
        <v>4233</v>
      </c>
      <c r="AF13" s="5">
        <v>40634</v>
      </c>
      <c r="AG13">
        <v>0</v>
      </c>
      <c r="AH13">
        <v>0</v>
      </c>
      <c r="AI13">
        <v>0</v>
      </c>
      <c r="AJ13">
        <v>0</v>
      </c>
      <c r="AK13">
        <v>0</v>
      </c>
      <c r="AL13">
        <v>0</v>
      </c>
      <c r="AM13">
        <v>0</v>
      </c>
      <c r="AQ13" s="5">
        <v>40634</v>
      </c>
      <c r="AR13">
        <v>0</v>
      </c>
      <c r="AS13">
        <v>0</v>
      </c>
      <c r="AT13">
        <v>0</v>
      </c>
      <c r="AU13">
        <v>0</v>
      </c>
      <c r="AV13">
        <v>0</v>
      </c>
      <c r="AW13">
        <v>0</v>
      </c>
      <c r="AX13">
        <v>0</v>
      </c>
      <c r="BB13" s="5">
        <v>40634</v>
      </c>
      <c r="BC13">
        <v>0</v>
      </c>
      <c r="BD13">
        <v>0</v>
      </c>
      <c r="BE13">
        <v>0</v>
      </c>
      <c r="BF13">
        <v>0</v>
      </c>
      <c r="BG13">
        <v>0</v>
      </c>
      <c r="BH13">
        <v>0</v>
      </c>
      <c r="BI13">
        <v>0</v>
      </c>
    </row>
    <row r="14" spans="1:63" x14ac:dyDescent="0.25">
      <c r="A14" t="str">
        <f>IF(Config!A14 &lt;&gt; "",Config!A14,"")</f>
        <v>basic page</v>
      </c>
      <c r="B14" t="str">
        <f>IF(Config!B14&lt;&gt;"",Config!B14,"")</f>
        <v>cpc.ca: shop &gt; checkout &gt; shipping options</v>
      </c>
      <c r="D14" s="7">
        <f t="shared" si="0"/>
        <v>19</v>
      </c>
      <c r="E14" s="6" t="str">
        <f t="shared" si="1"/>
        <v>Sun</v>
      </c>
      <c r="F14" s="27">
        <f t="shared" si="2"/>
        <v>40664</v>
      </c>
      <c r="G14">
        <f t="shared" si="3"/>
        <v>1</v>
      </c>
      <c r="H14">
        <f t="shared" si="4"/>
        <v>2011</v>
      </c>
      <c r="K14" s="5">
        <v>40664</v>
      </c>
      <c r="L14" s="42">
        <v>913710.23</v>
      </c>
      <c r="M14">
        <v>4708</v>
      </c>
      <c r="N14">
        <v>219446</v>
      </c>
      <c r="O14">
        <v>10955</v>
      </c>
      <c r="P14">
        <v>11881</v>
      </c>
      <c r="Q14">
        <v>29249</v>
      </c>
      <c r="R14">
        <v>2959</v>
      </c>
      <c r="AF14" s="5">
        <v>40664</v>
      </c>
      <c r="AG14">
        <v>0</v>
      </c>
      <c r="AH14">
        <v>0</v>
      </c>
      <c r="AI14">
        <v>0</v>
      </c>
      <c r="AJ14">
        <v>0</v>
      </c>
      <c r="AK14">
        <v>0</v>
      </c>
      <c r="AL14">
        <v>0</v>
      </c>
      <c r="AM14">
        <v>0</v>
      </c>
      <c r="AQ14" s="5">
        <v>40664</v>
      </c>
      <c r="AR14">
        <v>0</v>
      </c>
      <c r="AS14">
        <v>0</v>
      </c>
      <c r="AT14">
        <v>0</v>
      </c>
      <c r="AU14">
        <v>0</v>
      </c>
      <c r="AV14">
        <v>0</v>
      </c>
      <c r="AW14">
        <v>0</v>
      </c>
      <c r="AX14">
        <v>0</v>
      </c>
      <c r="BB14" s="5">
        <v>40664</v>
      </c>
      <c r="BC14">
        <v>0</v>
      </c>
      <c r="BD14">
        <v>0</v>
      </c>
      <c r="BE14">
        <v>0</v>
      </c>
      <c r="BF14">
        <v>0</v>
      </c>
      <c r="BG14">
        <v>0</v>
      </c>
      <c r="BH14">
        <v>0</v>
      </c>
      <c r="BI14">
        <v>0</v>
      </c>
    </row>
    <row r="15" spans="1:63" x14ac:dyDescent="0.25">
      <c r="A15" t="str">
        <f>IF(Config!A15 &lt;&gt; "",Config!A15,"")</f>
        <v>basic page</v>
      </c>
      <c r="B15" t="str">
        <f>IF(Config!B15&lt;&gt;"",Config!B15,"")</f>
        <v>cpc.ca: shop &gt; checkout &gt; payment options</v>
      </c>
      <c r="D15" s="7">
        <f t="shared" si="0"/>
        <v>23</v>
      </c>
      <c r="E15" s="6" t="str">
        <f t="shared" si="1"/>
        <v>Wed</v>
      </c>
      <c r="F15" s="27">
        <f t="shared" si="2"/>
        <v>40695</v>
      </c>
      <c r="G15">
        <f t="shared" si="3"/>
        <v>1</v>
      </c>
      <c r="H15">
        <f t="shared" si="4"/>
        <v>2011</v>
      </c>
      <c r="K15" s="5">
        <v>40695</v>
      </c>
      <c r="L15" s="42">
        <v>420709.3</v>
      </c>
      <c r="M15">
        <v>2241</v>
      </c>
      <c r="N15">
        <v>107232</v>
      </c>
      <c r="O15">
        <v>4518</v>
      </c>
      <c r="P15">
        <v>4081</v>
      </c>
      <c r="Q15">
        <v>10485</v>
      </c>
      <c r="R15">
        <v>1227</v>
      </c>
      <c r="AF15" s="5">
        <v>40695</v>
      </c>
      <c r="AG15">
        <v>0</v>
      </c>
      <c r="AH15">
        <v>0</v>
      </c>
      <c r="AI15">
        <v>0</v>
      </c>
      <c r="AJ15">
        <v>0</v>
      </c>
      <c r="AK15">
        <v>0</v>
      </c>
      <c r="AL15">
        <v>0</v>
      </c>
      <c r="AM15">
        <v>0</v>
      </c>
      <c r="AQ15" s="5">
        <v>40695</v>
      </c>
      <c r="AR15">
        <v>0</v>
      </c>
      <c r="AS15">
        <v>0</v>
      </c>
      <c r="AT15">
        <v>0</v>
      </c>
      <c r="AU15">
        <v>0</v>
      </c>
      <c r="AV15">
        <v>0</v>
      </c>
      <c r="AW15">
        <v>0</v>
      </c>
      <c r="AX15">
        <v>0</v>
      </c>
      <c r="BB15" s="5">
        <v>40695</v>
      </c>
      <c r="BC15">
        <v>0</v>
      </c>
      <c r="BD15">
        <v>0</v>
      </c>
      <c r="BE15">
        <v>0</v>
      </c>
      <c r="BF15">
        <v>0</v>
      </c>
      <c r="BG15">
        <v>0</v>
      </c>
      <c r="BH15">
        <v>0</v>
      </c>
      <c r="BI15">
        <v>0</v>
      </c>
    </row>
    <row r="16" spans="1:63" x14ac:dyDescent="0.25">
      <c r="A16" t="str">
        <f>IF(Config!A16 &lt;&gt; "",Config!A16,"")</f>
        <v>basic page</v>
      </c>
      <c r="B16" t="str">
        <f>IF(Config!B16&lt;&gt;"",Config!B16,"")</f>
        <v>cpc.ca: shop &gt; checkout &gt; place order</v>
      </c>
      <c r="D16" s="7">
        <f t="shared" si="0"/>
        <v>27</v>
      </c>
      <c r="E16" s="6" t="str">
        <f t="shared" si="1"/>
        <v>Fri</v>
      </c>
      <c r="F16" s="27">
        <f t="shared" si="2"/>
        <v>40725</v>
      </c>
      <c r="G16">
        <f t="shared" si="3"/>
        <v>1</v>
      </c>
      <c r="H16">
        <f t="shared" si="4"/>
        <v>2011</v>
      </c>
      <c r="K16" s="5">
        <v>40725</v>
      </c>
      <c r="L16" s="42">
        <v>758817.4</v>
      </c>
      <c r="M16">
        <v>4524</v>
      </c>
      <c r="N16">
        <v>197850</v>
      </c>
      <c r="O16">
        <v>10154</v>
      </c>
      <c r="P16">
        <v>12129</v>
      </c>
      <c r="Q16">
        <v>28952</v>
      </c>
      <c r="R16">
        <v>2800</v>
      </c>
      <c r="AF16" s="5">
        <v>40725</v>
      </c>
      <c r="AG16">
        <v>0</v>
      </c>
      <c r="AH16">
        <v>0</v>
      </c>
      <c r="AI16">
        <v>0</v>
      </c>
      <c r="AJ16">
        <v>0</v>
      </c>
      <c r="AK16">
        <v>0</v>
      </c>
      <c r="AL16">
        <v>0</v>
      </c>
      <c r="AM16">
        <v>0</v>
      </c>
      <c r="AQ16" s="5">
        <v>40725</v>
      </c>
      <c r="AR16">
        <v>0</v>
      </c>
      <c r="AS16">
        <v>0</v>
      </c>
      <c r="AT16">
        <v>0</v>
      </c>
      <c r="AU16">
        <v>0</v>
      </c>
      <c r="AV16">
        <v>0</v>
      </c>
      <c r="AW16">
        <v>0</v>
      </c>
      <c r="AX16">
        <v>0</v>
      </c>
      <c r="BB16" s="5">
        <v>40725</v>
      </c>
      <c r="BC16">
        <v>0</v>
      </c>
      <c r="BD16">
        <v>0</v>
      </c>
      <c r="BE16">
        <v>0</v>
      </c>
      <c r="BF16">
        <v>0</v>
      </c>
      <c r="BG16">
        <v>0</v>
      </c>
      <c r="BH16">
        <v>0</v>
      </c>
      <c r="BI16">
        <v>0</v>
      </c>
    </row>
    <row r="17" spans="1:63" x14ac:dyDescent="0.25">
      <c r="A17" t="str">
        <f>IF(Config!A17 &lt;&gt; "",Config!A17,"")</f>
        <v>basic page</v>
      </c>
      <c r="B17" t="str">
        <f>IF(Config!B17&lt;&gt;"",Config!B17,"")</f>
        <v>cpc.ca: shop &gt; checkout &gt; order confirmation</v>
      </c>
      <c r="D17" s="7">
        <f t="shared" si="0"/>
        <v>32</v>
      </c>
      <c r="E17" s="6" t="str">
        <f t="shared" si="1"/>
        <v>Mon</v>
      </c>
      <c r="F17" s="27">
        <f t="shared" si="2"/>
        <v>40756</v>
      </c>
      <c r="G17">
        <f t="shared" si="3"/>
        <v>1</v>
      </c>
      <c r="H17">
        <f t="shared" si="4"/>
        <v>2011</v>
      </c>
      <c r="K17" s="5">
        <v>40756</v>
      </c>
      <c r="L17" s="42">
        <v>731942.55</v>
      </c>
      <c r="M17">
        <v>4059</v>
      </c>
      <c r="N17">
        <v>199333</v>
      </c>
      <c r="O17">
        <v>9790</v>
      </c>
      <c r="P17">
        <v>12706</v>
      </c>
      <c r="Q17">
        <v>24237</v>
      </c>
      <c r="R17">
        <v>2442</v>
      </c>
      <c r="AF17" s="5">
        <v>40756</v>
      </c>
      <c r="AG17">
        <v>0</v>
      </c>
      <c r="AH17">
        <v>0</v>
      </c>
      <c r="AI17">
        <v>0</v>
      </c>
      <c r="AJ17">
        <v>0</v>
      </c>
      <c r="AK17">
        <v>0</v>
      </c>
      <c r="AL17">
        <v>0</v>
      </c>
      <c r="AM17">
        <v>0</v>
      </c>
      <c r="AQ17" s="5">
        <v>40756</v>
      </c>
      <c r="AR17">
        <v>0</v>
      </c>
      <c r="AS17">
        <v>0</v>
      </c>
      <c r="AT17">
        <v>0</v>
      </c>
      <c r="AU17">
        <v>0</v>
      </c>
      <c r="AV17">
        <v>0</v>
      </c>
      <c r="AW17">
        <v>0</v>
      </c>
      <c r="AX17">
        <v>0</v>
      </c>
      <c r="BB17" s="5">
        <v>40756</v>
      </c>
      <c r="BC17">
        <v>0</v>
      </c>
      <c r="BD17">
        <v>0</v>
      </c>
      <c r="BE17">
        <v>0</v>
      </c>
      <c r="BF17">
        <v>0</v>
      </c>
      <c r="BG17">
        <v>0</v>
      </c>
      <c r="BH17">
        <v>0</v>
      </c>
      <c r="BI17">
        <v>0</v>
      </c>
    </row>
    <row r="18" spans="1:63" x14ac:dyDescent="0.25">
      <c r="A18" t="str">
        <f>IF(Config!A18 &lt;&gt; "",Config!A18,"")</f>
        <v/>
      </c>
      <c r="B18" t="str">
        <f>IF(Config!B18&lt;&gt;"",Config!B18,"")</f>
        <v/>
      </c>
      <c r="D18" s="7">
        <f t="shared" si="0"/>
        <v>36</v>
      </c>
      <c r="E18" s="6" t="str">
        <f t="shared" si="1"/>
        <v>Thu</v>
      </c>
      <c r="F18" s="27">
        <f t="shared" si="2"/>
        <v>40787</v>
      </c>
      <c r="G18">
        <f t="shared" si="3"/>
        <v>1</v>
      </c>
      <c r="H18">
        <f t="shared" si="4"/>
        <v>2011</v>
      </c>
      <c r="K18" s="5">
        <v>40787</v>
      </c>
      <c r="L18" s="42">
        <v>667614.84</v>
      </c>
      <c r="M18">
        <v>3345</v>
      </c>
      <c r="N18">
        <v>146724</v>
      </c>
      <c r="O18">
        <v>7840</v>
      </c>
      <c r="P18">
        <v>13480</v>
      </c>
      <c r="Q18">
        <v>25689</v>
      </c>
      <c r="R18">
        <v>2484</v>
      </c>
      <c r="AF18" s="5">
        <v>40787</v>
      </c>
      <c r="AG18">
        <v>0</v>
      </c>
      <c r="AH18">
        <v>0</v>
      </c>
      <c r="AI18">
        <v>0</v>
      </c>
      <c r="AJ18">
        <v>0</v>
      </c>
      <c r="AK18">
        <v>0</v>
      </c>
      <c r="AL18">
        <v>0</v>
      </c>
      <c r="AM18">
        <v>0</v>
      </c>
      <c r="AQ18" s="5">
        <v>40787</v>
      </c>
      <c r="AR18">
        <v>0</v>
      </c>
      <c r="AS18">
        <v>0</v>
      </c>
      <c r="AT18">
        <v>0</v>
      </c>
      <c r="AU18">
        <v>0</v>
      </c>
      <c r="AV18">
        <v>0</v>
      </c>
      <c r="AW18">
        <v>0</v>
      </c>
      <c r="AX18">
        <v>0</v>
      </c>
      <c r="BB18" s="5">
        <v>40787</v>
      </c>
      <c r="BC18">
        <v>0</v>
      </c>
      <c r="BD18">
        <v>0</v>
      </c>
      <c r="BE18">
        <v>0</v>
      </c>
      <c r="BF18">
        <v>0</v>
      </c>
      <c r="BG18">
        <v>0</v>
      </c>
      <c r="BH18">
        <v>0</v>
      </c>
      <c r="BI18">
        <v>0</v>
      </c>
    </row>
    <row r="19" spans="1:63" x14ac:dyDescent="0.25">
      <c r="A19" t="str">
        <f>IF(Config!A19 &lt;&gt; "",Config!A19,"")</f>
        <v/>
      </c>
      <c r="B19" t="str">
        <f>IF(Config!B19&lt;&gt;"",Config!B19,"")</f>
        <v/>
      </c>
      <c r="D19" s="7">
        <f t="shared" si="0"/>
        <v>40</v>
      </c>
      <c r="E19" s="6" t="str">
        <f t="shared" si="1"/>
        <v>Sat</v>
      </c>
      <c r="F19" s="27">
        <f t="shared" si="2"/>
        <v>40817</v>
      </c>
      <c r="G19">
        <f t="shared" si="3"/>
        <v>1</v>
      </c>
      <c r="H19">
        <f t="shared" si="4"/>
        <v>2011</v>
      </c>
      <c r="K19" s="5">
        <v>40817</v>
      </c>
      <c r="L19" s="42">
        <v>863841.32</v>
      </c>
      <c r="M19">
        <v>4191</v>
      </c>
      <c r="N19">
        <v>155038</v>
      </c>
      <c r="O19">
        <v>11267</v>
      </c>
      <c r="P19">
        <v>12859</v>
      </c>
      <c r="Q19">
        <v>24364</v>
      </c>
      <c r="R19">
        <v>2622</v>
      </c>
      <c r="AF19" s="5">
        <v>40817</v>
      </c>
      <c r="AG19">
        <v>89895.66</v>
      </c>
      <c r="AH19">
        <v>641</v>
      </c>
      <c r="AI19">
        <v>13464</v>
      </c>
      <c r="AJ19">
        <v>1640</v>
      </c>
      <c r="AK19">
        <v>1629</v>
      </c>
      <c r="AL19">
        <v>3627</v>
      </c>
      <c r="AM19">
        <v>546</v>
      </c>
      <c r="AQ19" s="5">
        <v>40817</v>
      </c>
      <c r="AR19">
        <v>1283.76</v>
      </c>
      <c r="AS19">
        <v>19</v>
      </c>
      <c r="AT19">
        <v>219</v>
      </c>
      <c r="AU19">
        <v>47</v>
      </c>
      <c r="AV19">
        <v>83</v>
      </c>
      <c r="AW19">
        <v>202</v>
      </c>
      <c r="AX19">
        <v>18</v>
      </c>
      <c r="BB19" s="5">
        <v>40817</v>
      </c>
      <c r="BC19">
        <v>2560.58</v>
      </c>
      <c r="BD19">
        <v>31</v>
      </c>
      <c r="BE19">
        <v>268</v>
      </c>
      <c r="BF19">
        <v>86</v>
      </c>
      <c r="BG19">
        <v>31</v>
      </c>
      <c r="BH19">
        <v>57</v>
      </c>
      <c r="BI19">
        <v>1</v>
      </c>
    </row>
    <row r="20" spans="1:63" x14ac:dyDescent="0.25">
      <c r="A20" t="str">
        <f>IF(Config!A20 &lt;&gt; "",Config!A20,"")</f>
        <v/>
      </c>
      <c r="B20" t="str">
        <f>IF(Config!B20&lt;&gt;"",Config!B20,"")</f>
        <v/>
      </c>
      <c r="D20" s="7">
        <f t="shared" si="0"/>
        <v>45</v>
      </c>
      <c r="E20" s="6" t="str">
        <f t="shared" si="1"/>
        <v>Tue</v>
      </c>
      <c r="F20" s="27">
        <f t="shared" si="2"/>
        <v>40848</v>
      </c>
      <c r="G20">
        <f t="shared" si="3"/>
        <v>1</v>
      </c>
      <c r="H20">
        <f t="shared" si="4"/>
        <v>2011</v>
      </c>
      <c r="K20" s="5">
        <v>40848</v>
      </c>
      <c r="L20" s="42">
        <v>1059633.8400000001</v>
      </c>
      <c r="M20">
        <v>6149</v>
      </c>
      <c r="N20">
        <v>163556</v>
      </c>
      <c r="O20">
        <v>14698</v>
      </c>
      <c r="P20">
        <v>16227</v>
      </c>
      <c r="Q20">
        <v>33378</v>
      </c>
      <c r="R20">
        <v>3920</v>
      </c>
      <c r="AF20" s="5">
        <v>40848</v>
      </c>
      <c r="AG20">
        <v>139833.60000000001</v>
      </c>
      <c r="AH20">
        <v>969</v>
      </c>
      <c r="AI20">
        <v>18167</v>
      </c>
      <c r="AJ20">
        <v>2207</v>
      </c>
      <c r="AK20">
        <v>2247</v>
      </c>
      <c r="AL20">
        <v>5339</v>
      </c>
      <c r="AM20">
        <v>714</v>
      </c>
      <c r="AQ20" s="5">
        <v>40848</v>
      </c>
      <c r="AR20">
        <v>29475.61</v>
      </c>
      <c r="AS20">
        <v>234</v>
      </c>
      <c r="AT20">
        <v>3400</v>
      </c>
      <c r="AU20">
        <v>548</v>
      </c>
      <c r="AV20">
        <v>732</v>
      </c>
      <c r="AW20">
        <v>1660</v>
      </c>
      <c r="AX20">
        <v>196</v>
      </c>
      <c r="BB20" s="5">
        <v>40848</v>
      </c>
      <c r="BC20">
        <v>5652.93</v>
      </c>
      <c r="BD20">
        <v>70</v>
      </c>
      <c r="BE20">
        <v>433</v>
      </c>
      <c r="BF20">
        <v>180</v>
      </c>
      <c r="BG20">
        <v>113</v>
      </c>
      <c r="BH20">
        <v>220</v>
      </c>
      <c r="BI20">
        <v>20</v>
      </c>
    </row>
    <row r="21" spans="1:63" x14ac:dyDescent="0.25">
      <c r="A21" t="str">
        <f>IF(Config!A21 &lt;&gt; "",Config!A21,"")</f>
        <v/>
      </c>
      <c r="B21" t="str">
        <f>IF(Config!B21&lt;&gt;"",Config!B21,"")</f>
        <v/>
      </c>
      <c r="D21" s="7">
        <f t="shared" si="0"/>
        <v>49</v>
      </c>
      <c r="E21" s="6" t="str">
        <f t="shared" si="1"/>
        <v>Thu</v>
      </c>
      <c r="F21" s="27">
        <f t="shared" si="2"/>
        <v>40878</v>
      </c>
      <c r="G21">
        <f t="shared" si="3"/>
        <v>1</v>
      </c>
      <c r="H21">
        <f t="shared" si="4"/>
        <v>2011</v>
      </c>
      <c r="K21" s="5">
        <v>40878</v>
      </c>
      <c r="L21" s="42">
        <v>867707.64</v>
      </c>
      <c r="M21">
        <v>4885</v>
      </c>
      <c r="N21">
        <v>127722</v>
      </c>
      <c r="O21">
        <v>12915</v>
      </c>
      <c r="P21">
        <v>16137</v>
      </c>
      <c r="Q21">
        <v>29548</v>
      </c>
      <c r="R21">
        <v>3361</v>
      </c>
      <c r="AF21" s="5">
        <v>40878</v>
      </c>
      <c r="AG21">
        <v>129501.15</v>
      </c>
      <c r="AH21">
        <v>806</v>
      </c>
      <c r="AI21">
        <v>15225</v>
      </c>
      <c r="AJ21">
        <v>2101</v>
      </c>
      <c r="AK21">
        <v>2484</v>
      </c>
      <c r="AL21">
        <v>5298</v>
      </c>
      <c r="AM21">
        <v>671</v>
      </c>
      <c r="AQ21" s="5">
        <v>40878</v>
      </c>
      <c r="AR21">
        <v>33399.25</v>
      </c>
      <c r="AS21">
        <v>254</v>
      </c>
      <c r="AT21">
        <v>3170</v>
      </c>
      <c r="AU21">
        <v>629</v>
      </c>
      <c r="AV21">
        <v>1042</v>
      </c>
      <c r="AW21">
        <v>1977</v>
      </c>
      <c r="AX21">
        <v>269</v>
      </c>
      <c r="BB21" s="5">
        <v>40878</v>
      </c>
      <c r="BC21">
        <v>4512.55</v>
      </c>
      <c r="BD21">
        <v>71</v>
      </c>
      <c r="BE21">
        <v>406</v>
      </c>
      <c r="BF21">
        <v>195</v>
      </c>
      <c r="BG21">
        <v>145</v>
      </c>
      <c r="BH21">
        <v>303</v>
      </c>
      <c r="BI21">
        <v>39</v>
      </c>
    </row>
    <row r="22" spans="1:63" x14ac:dyDescent="0.25">
      <c r="A22" t="str">
        <f>IF(Config!A22 &lt;&gt; "",Config!A22,"")</f>
        <v/>
      </c>
      <c r="B22" t="str">
        <f>IF(Config!B22&lt;&gt;"",Config!B22,"")</f>
        <v/>
      </c>
      <c r="D22" s="7">
        <f t="shared" si="0"/>
        <v>1</v>
      </c>
      <c r="E22" s="6" t="str">
        <f t="shared" si="1"/>
        <v>Sun</v>
      </c>
      <c r="F22" s="27">
        <f t="shared" si="2"/>
        <v>40909</v>
      </c>
      <c r="G22">
        <f t="shared" si="3"/>
        <v>1</v>
      </c>
      <c r="H22">
        <f t="shared" si="4"/>
        <v>2012</v>
      </c>
      <c r="K22" s="5">
        <v>40909</v>
      </c>
      <c r="L22" s="42">
        <v>1222680.94</v>
      </c>
      <c r="M22">
        <v>9551</v>
      </c>
      <c r="N22">
        <v>210755</v>
      </c>
      <c r="O22">
        <v>22395</v>
      </c>
      <c r="P22">
        <v>25726</v>
      </c>
      <c r="Q22">
        <v>84108</v>
      </c>
      <c r="R22">
        <v>9524</v>
      </c>
      <c r="AF22" s="5">
        <v>40909</v>
      </c>
      <c r="AG22">
        <v>248321.82</v>
      </c>
      <c r="AH22">
        <v>2095</v>
      </c>
      <c r="AI22">
        <v>31976</v>
      </c>
      <c r="AJ22">
        <v>5101</v>
      </c>
      <c r="AK22">
        <v>5760</v>
      </c>
      <c r="AL22">
        <v>20011</v>
      </c>
      <c r="AM22">
        <v>2581</v>
      </c>
      <c r="AQ22" s="5">
        <v>40909</v>
      </c>
      <c r="AR22">
        <v>519.15</v>
      </c>
      <c r="AS22">
        <v>7</v>
      </c>
      <c r="AT22">
        <v>62</v>
      </c>
      <c r="AU22">
        <v>19</v>
      </c>
      <c r="AV22">
        <v>27</v>
      </c>
      <c r="AW22">
        <v>107</v>
      </c>
      <c r="AX22">
        <v>7</v>
      </c>
      <c r="BB22" s="5">
        <v>40909</v>
      </c>
      <c r="BC22">
        <v>15790.6</v>
      </c>
      <c r="BD22">
        <v>165</v>
      </c>
      <c r="BE22">
        <v>1731</v>
      </c>
      <c r="BF22">
        <v>485</v>
      </c>
      <c r="BG22">
        <v>318</v>
      </c>
      <c r="BH22">
        <v>1257</v>
      </c>
      <c r="BI22">
        <v>131</v>
      </c>
    </row>
    <row r="23" spans="1:63" x14ac:dyDescent="0.25">
      <c r="A23" t="str">
        <f>IF(Config!A23 &lt;&gt; "",Config!A23,"")</f>
        <v/>
      </c>
      <c r="B23" t="str">
        <f>IF(Config!B23&lt;&gt;"",Config!B23,"")</f>
        <v/>
      </c>
      <c r="D23" s="7">
        <f t="shared" si="0"/>
        <v>5</v>
      </c>
      <c r="E23" s="6" t="str">
        <f t="shared" si="1"/>
        <v>Wed</v>
      </c>
      <c r="F23" s="27">
        <f t="shared" si="2"/>
        <v>40940</v>
      </c>
      <c r="G23">
        <f t="shared" si="3"/>
        <v>1</v>
      </c>
      <c r="H23">
        <f t="shared" si="4"/>
        <v>2012</v>
      </c>
      <c r="K23" s="5">
        <v>40940</v>
      </c>
      <c r="L23" s="42">
        <v>1031014.09</v>
      </c>
      <c r="M23">
        <v>6036</v>
      </c>
      <c r="N23">
        <v>194541</v>
      </c>
      <c r="O23">
        <v>14940</v>
      </c>
      <c r="P23">
        <v>18659</v>
      </c>
      <c r="Q23">
        <v>43924</v>
      </c>
      <c r="R23">
        <v>4590</v>
      </c>
      <c r="AF23" s="5">
        <v>40940</v>
      </c>
      <c r="AG23">
        <v>219891.46</v>
      </c>
      <c r="AH23">
        <v>1687</v>
      </c>
      <c r="AI23">
        <v>30486</v>
      </c>
      <c r="AJ23">
        <v>3828</v>
      </c>
      <c r="AK23">
        <v>5031</v>
      </c>
      <c r="AL23">
        <v>13337</v>
      </c>
      <c r="AM23">
        <v>1533</v>
      </c>
      <c r="AQ23" s="5">
        <v>40940</v>
      </c>
      <c r="AR23">
        <v>25.81</v>
      </c>
      <c r="AS23">
        <v>1</v>
      </c>
      <c r="AT23">
        <v>13</v>
      </c>
      <c r="AU23">
        <v>5</v>
      </c>
      <c r="AV23">
        <v>15</v>
      </c>
      <c r="AW23">
        <v>47</v>
      </c>
      <c r="AX23">
        <v>0</v>
      </c>
      <c r="BB23" s="5">
        <v>40940</v>
      </c>
      <c r="BC23">
        <v>12270.31</v>
      </c>
      <c r="BD23">
        <v>99</v>
      </c>
      <c r="BE23">
        <v>1329</v>
      </c>
      <c r="BF23">
        <v>246</v>
      </c>
      <c r="BG23">
        <v>204</v>
      </c>
      <c r="BH23">
        <v>594</v>
      </c>
      <c r="BI23">
        <v>55</v>
      </c>
    </row>
    <row r="24" spans="1:63" x14ac:dyDescent="0.25">
      <c r="A24" t="str">
        <f>IF(Config!A24 &lt;&gt; "",Config!A24,"")</f>
        <v/>
      </c>
      <c r="B24" t="str">
        <f>IF(Config!B24&lt;&gt;"",Config!B24,"")</f>
        <v/>
      </c>
      <c r="D24" s="7">
        <f t="shared" si="0"/>
        <v>9</v>
      </c>
      <c r="E24" s="6" t="str">
        <f t="shared" si="1"/>
        <v>Thu</v>
      </c>
      <c r="F24" s="27">
        <f t="shared" si="2"/>
        <v>40969</v>
      </c>
      <c r="G24">
        <f t="shared" si="3"/>
        <v>1</v>
      </c>
      <c r="H24">
        <f t="shared" si="4"/>
        <v>2012</v>
      </c>
      <c r="K24" s="5">
        <v>40969</v>
      </c>
      <c r="L24" s="42">
        <v>1243579.28</v>
      </c>
      <c r="M24">
        <v>7125</v>
      </c>
      <c r="N24">
        <v>202161</v>
      </c>
      <c r="O24">
        <v>16223</v>
      </c>
      <c r="P24">
        <v>19952</v>
      </c>
      <c r="Q24">
        <v>52319</v>
      </c>
      <c r="R24">
        <v>5246</v>
      </c>
      <c r="AF24" s="5">
        <v>40969</v>
      </c>
      <c r="AG24">
        <v>253724.49</v>
      </c>
      <c r="AH24">
        <v>1882</v>
      </c>
      <c r="AI24">
        <v>32307</v>
      </c>
      <c r="AJ24">
        <v>4045</v>
      </c>
      <c r="AK24">
        <v>4967</v>
      </c>
      <c r="AL24">
        <v>14093</v>
      </c>
      <c r="AM24">
        <v>1631</v>
      </c>
      <c r="AQ24" s="5">
        <v>40969</v>
      </c>
      <c r="AR24">
        <v>3194.49</v>
      </c>
      <c r="AS24">
        <v>38</v>
      </c>
      <c r="AT24">
        <v>344</v>
      </c>
      <c r="AU24">
        <v>92</v>
      </c>
      <c r="AV24">
        <v>138</v>
      </c>
      <c r="AW24">
        <v>317</v>
      </c>
      <c r="AX24">
        <v>35</v>
      </c>
      <c r="BB24" s="5">
        <v>40969</v>
      </c>
      <c r="BC24">
        <v>17551.57</v>
      </c>
      <c r="BD24">
        <v>137</v>
      </c>
      <c r="BE24">
        <v>1558</v>
      </c>
      <c r="BF24">
        <v>291</v>
      </c>
      <c r="BG24">
        <v>221</v>
      </c>
      <c r="BH24">
        <v>842</v>
      </c>
      <c r="BI24">
        <v>73</v>
      </c>
    </row>
    <row r="25" spans="1:63" x14ac:dyDescent="0.25">
      <c r="A25" t="str">
        <f>IF(Config!A25 &lt;&gt; "",Config!A25,"")</f>
        <v/>
      </c>
      <c r="B25" t="str">
        <f>IF(Config!B25&lt;&gt;"",Config!B25,"")</f>
        <v/>
      </c>
      <c r="D25" s="7">
        <f t="shared" si="0"/>
        <v>14</v>
      </c>
      <c r="E25" s="6" t="str">
        <f t="shared" si="1"/>
        <v>Sun</v>
      </c>
      <c r="F25" s="27">
        <f t="shared" si="2"/>
        <v>41000</v>
      </c>
      <c r="G25">
        <f t="shared" si="3"/>
        <v>1</v>
      </c>
      <c r="H25">
        <f t="shared" si="4"/>
        <v>2012</v>
      </c>
      <c r="K25" s="5">
        <v>41000</v>
      </c>
      <c r="L25" s="42">
        <v>1241765.43</v>
      </c>
      <c r="M25">
        <v>8039</v>
      </c>
      <c r="N25">
        <v>188789</v>
      </c>
      <c r="O25">
        <v>17596</v>
      </c>
      <c r="P25">
        <v>18773</v>
      </c>
      <c r="Q25">
        <v>49248</v>
      </c>
      <c r="R25">
        <v>6054</v>
      </c>
      <c r="AF25" s="5">
        <v>41000</v>
      </c>
      <c r="AG25">
        <v>271824.23</v>
      </c>
      <c r="AH25">
        <v>2103</v>
      </c>
      <c r="AI25">
        <v>31387</v>
      </c>
      <c r="AJ25">
        <v>4746</v>
      </c>
      <c r="AK25">
        <v>5431</v>
      </c>
      <c r="AL25">
        <v>13957</v>
      </c>
      <c r="AM25">
        <v>1803</v>
      </c>
      <c r="AQ25" s="5">
        <v>41000</v>
      </c>
      <c r="AR25">
        <v>5198.07</v>
      </c>
      <c r="AS25">
        <v>50</v>
      </c>
      <c r="AT25">
        <v>308</v>
      </c>
      <c r="AU25">
        <v>121</v>
      </c>
      <c r="AV25">
        <v>254</v>
      </c>
      <c r="AW25">
        <v>437</v>
      </c>
      <c r="AX25">
        <v>43</v>
      </c>
      <c r="BB25" s="5">
        <v>41000</v>
      </c>
      <c r="BC25">
        <v>31647.7</v>
      </c>
      <c r="BD25">
        <v>196</v>
      </c>
      <c r="BE25">
        <v>1368</v>
      </c>
      <c r="BF25">
        <v>479</v>
      </c>
      <c r="BG25">
        <v>308</v>
      </c>
      <c r="BH25">
        <v>988</v>
      </c>
      <c r="BI25">
        <v>143</v>
      </c>
    </row>
    <row r="26" spans="1:63" x14ac:dyDescent="0.25">
      <c r="A26" t="str">
        <f>IF(Config!A26 &lt;&gt; "",Config!A26,"")</f>
        <v/>
      </c>
      <c r="B26" t="str">
        <f>IF(Config!B26&lt;&gt;"",Config!B26,"")</f>
        <v/>
      </c>
      <c r="D26" s="7">
        <f t="shared" si="0"/>
        <v>18</v>
      </c>
      <c r="E26" s="6" t="str">
        <f t="shared" si="1"/>
        <v>Tue</v>
      </c>
      <c r="F26" s="27">
        <f t="shared" si="2"/>
        <v>41030</v>
      </c>
      <c r="G26">
        <f t="shared" si="3"/>
        <v>1</v>
      </c>
      <c r="H26">
        <f t="shared" si="4"/>
        <v>2012</v>
      </c>
      <c r="K26" s="5">
        <v>41030</v>
      </c>
      <c r="L26" s="42">
        <v>1137521.26</v>
      </c>
      <c r="M26">
        <v>6802</v>
      </c>
      <c r="N26">
        <v>195583</v>
      </c>
      <c r="O26">
        <v>13079</v>
      </c>
      <c r="P26">
        <v>13262</v>
      </c>
      <c r="Q26">
        <v>37485</v>
      </c>
      <c r="R26">
        <v>4961</v>
      </c>
      <c r="AF26" s="5">
        <v>41030</v>
      </c>
      <c r="AG26">
        <v>260510.65</v>
      </c>
      <c r="AH26">
        <v>1734</v>
      </c>
      <c r="AI26">
        <v>34316</v>
      </c>
      <c r="AJ26">
        <v>3722</v>
      </c>
      <c r="AK26">
        <v>4705</v>
      </c>
      <c r="AL26">
        <v>12229</v>
      </c>
      <c r="AM26">
        <v>1410</v>
      </c>
      <c r="AQ26" s="5">
        <v>41030</v>
      </c>
      <c r="AR26">
        <v>13922.98</v>
      </c>
      <c r="AS26">
        <v>96</v>
      </c>
      <c r="AT26">
        <v>1345</v>
      </c>
      <c r="AU26">
        <v>199</v>
      </c>
      <c r="AV26">
        <v>375</v>
      </c>
      <c r="AW26">
        <v>871</v>
      </c>
      <c r="AX26">
        <v>60</v>
      </c>
      <c r="BB26" s="5">
        <v>41030</v>
      </c>
      <c r="BC26">
        <v>14267.85</v>
      </c>
      <c r="BD26">
        <v>127</v>
      </c>
      <c r="BE26">
        <v>1028</v>
      </c>
      <c r="BF26">
        <v>325</v>
      </c>
      <c r="BG26">
        <v>231</v>
      </c>
      <c r="BH26">
        <v>832</v>
      </c>
      <c r="BI26">
        <v>155</v>
      </c>
    </row>
    <row r="27" spans="1:63" x14ac:dyDescent="0.25">
      <c r="A27" t="str">
        <f>IF(Config!A27 &lt;&gt; "",Config!A27,"")</f>
        <v/>
      </c>
      <c r="B27" t="str">
        <f>IF(Config!B27&lt;&gt;"",Config!B27,"")</f>
        <v/>
      </c>
      <c r="D27" s="7">
        <f t="shared" si="0"/>
        <v>22</v>
      </c>
      <c r="E27" s="6" t="str">
        <f t="shared" si="1"/>
        <v>Fri</v>
      </c>
      <c r="F27" s="27">
        <f t="shared" si="2"/>
        <v>41061</v>
      </c>
      <c r="G27">
        <f t="shared" si="3"/>
        <v>1</v>
      </c>
      <c r="H27">
        <f t="shared" si="4"/>
        <v>2012</v>
      </c>
      <c r="K27" s="5">
        <v>41061</v>
      </c>
      <c r="L27" s="42">
        <v>1048588.8600000001</v>
      </c>
      <c r="M27">
        <v>6314</v>
      </c>
      <c r="N27">
        <v>172140</v>
      </c>
      <c r="O27">
        <v>12138</v>
      </c>
      <c r="P27">
        <v>12384</v>
      </c>
      <c r="Q27">
        <v>37263</v>
      </c>
      <c r="R27">
        <v>5152</v>
      </c>
      <c r="AF27" s="5">
        <v>41061</v>
      </c>
      <c r="AG27">
        <v>244376.93</v>
      </c>
      <c r="AH27">
        <v>1738</v>
      </c>
      <c r="AI27">
        <v>33310</v>
      </c>
      <c r="AJ27">
        <v>3832</v>
      </c>
      <c r="AK27">
        <v>4477</v>
      </c>
      <c r="AL27">
        <v>12466</v>
      </c>
      <c r="AM27">
        <v>1631</v>
      </c>
      <c r="AQ27" s="5">
        <v>41061</v>
      </c>
      <c r="AR27">
        <v>14741.93</v>
      </c>
      <c r="AS27">
        <v>133</v>
      </c>
      <c r="AT27">
        <v>1550</v>
      </c>
      <c r="AU27">
        <v>313</v>
      </c>
      <c r="AV27">
        <v>462</v>
      </c>
      <c r="AW27">
        <v>1075</v>
      </c>
      <c r="AX27">
        <v>140</v>
      </c>
      <c r="BB27" s="5">
        <v>41061</v>
      </c>
      <c r="BC27">
        <v>32606.94</v>
      </c>
      <c r="BD27">
        <v>123</v>
      </c>
      <c r="BE27">
        <v>820</v>
      </c>
      <c r="BF27">
        <v>383</v>
      </c>
      <c r="BG27">
        <v>269</v>
      </c>
      <c r="BH27">
        <v>829</v>
      </c>
      <c r="BI27">
        <v>130</v>
      </c>
    </row>
    <row r="28" spans="1:63" x14ac:dyDescent="0.25">
      <c r="A28" t="str">
        <f>IF(Config!A28 &lt;&gt; "",Config!A28,"")</f>
        <v/>
      </c>
      <c r="B28" t="str">
        <f>IF(Config!B28&lt;&gt;"",Config!B28,"")</f>
        <v/>
      </c>
      <c r="D28" s="7">
        <f t="shared" si="0"/>
        <v>27</v>
      </c>
      <c r="E28" s="6" t="str">
        <f t="shared" si="1"/>
        <v>Sun</v>
      </c>
      <c r="F28" s="27">
        <f t="shared" si="2"/>
        <v>41091</v>
      </c>
      <c r="G28">
        <f t="shared" si="3"/>
        <v>1</v>
      </c>
      <c r="H28">
        <f t="shared" si="4"/>
        <v>2012</v>
      </c>
      <c r="K28" s="5">
        <v>41091</v>
      </c>
      <c r="L28" s="42">
        <v>942676.24</v>
      </c>
      <c r="M28">
        <v>5813</v>
      </c>
      <c r="N28">
        <v>152106</v>
      </c>
      <c r="O28">
        <v>11276</v>
      </c>
      <c r="P28">
        <v>11949</v>
      </c>
      <c r="Q28">
        <v>32082</v>
      </c>
      <c r="R28">
        <v>4780</v>
      </c>
      <c r="AF28" s="5">
        <v>41091</v>
      </c>
      <c r="AG28" s="42">
        <v>201899.96</v>
      </c>
      <c r="AH28">
        <v>1502</v>
      </c>
      <c r="AI28">
        <v>23206</v>
      </c>
      <c r="AJ28">
        <v>3339</v>
      </c>
      <c r="AK28">
        <v>4139</v>
      </c>
      <c r="AL28">
        <v>10427</v>
      </c>
      <c r="AM28">
        <v>1452</v>
      </c>
      <c r="AN28" s="41">
        <f t="shared" ref="AN28:AO30" si="5">AG28/L28</f>
        <v>0.21417741471875859</v>
      </c>
      <c r="AO28" s="41">
        <f t="shared" si="5"/>
        <v>0.25838637536555997</v>
      </c>
      <c r="AQ28" s="5">
        <v>41091</v>
      </c>
      <c r="AR28" s="42">
        <v>16887.259999999998</v>
      </c>
      <c r="AS28">
        <v>94</v>
      </c>
      <c r="AT28">
        <v>1959</v>
      </c>
      <c r="AU28">
        <v>229</v>
      </c>
      <c r="AV28">
        <v>388</v>
      </c>
      <c r="AW28">
        <v>843</v>
      </c>
      <c r="AX28">
        <v>89</v>
      </c>
      <c r="AY28" s="41">
        <f>AR28/$L28</f>
        <v>1.791416743462209E-2</v>
      </c>
      <c r="AZ28" s="41">
        <f>AS28/$M28</f>
        <v>1.6170651986925855E-2</v>
      </c>
      <c r="BB28" s="5">
        <v>41091</v>
      </c>
      <c r="BC28" s="42">
        <v>16841.009999999998</v>
      </c>
      <c r="BD28">
        <v>128</v>
      </c>
      <c r="BE28">
        <v>1250</v>
      </c>
      <c r="BF28">
        <v>347</v>
      </c>
      <c r="BG28">
        <v>285</v>
      </c>
      <c r="BH28">
        <v>787</v>
      </c>
      <c r="BI28">
        <v>161</v>
      </c>
      <c r="BJ28" s="41">
        <f>BC28/$L28</f>
        <v>1.786510499087152E-2</v>
      </c>
      <c r="BK28" s="41">
        <f>BD28/$M28</f>
        <v>2.2019611216239462E-2</v>
      </c>
    </row>
    <row r="29" spans="1:63" x14ac:dyDescent="0.25">
      <c r="A29" t="str">
        <f>IF(Config!A29 &lt;&gt; "",Config!A29,"")</f>
        <v/>
      </c>
      <c r="B29" t="str">
        <f>IF(Config!B29&lt;&gt;"",Config!B29,"")</f>
        <v/>
      </c>
      <c r="D29" s="7">
        <f t="shared" si="0"/>
        <v>31</v>
      </c>
      <c r="E29" s="6" t="str">
        <f t="shared" si="1"/>
        <v>Wed</v>
      </c>
      <c r="F29" s="27">
        <f t="shared" si="2"/>
        <v>41122</v>
      </c>
      <c r="G29">
        <f t="shared" si="3"/>
        <v>1</v>
      </c>
      <c r="H29">
        <f t="shared" si="4"/>
        <v>2012</v>
      </c>
      <c r="K29" s="5">
        <v>41122</v>
      </c>
      <c r="L29" s="42">
        <v>1013093.48</v>
      </c>
      <c r="M29">
        <v>5751</v>
      </c>
      <c r="N29">
        <v>180818</v>
      </c>
      <c r="O29">
        <v>11339</v>
      </c>
      <c r="P29">
        <v>9207</v>
      </c>
      <c r="Q29">
        <v>23820</v>
      </c>
      <c r="R29">
        <v>3409</v>
      </c>
      <c r="AF29" s="5">
        <v>41122</v>
      </c>
      <c r="AG29" s="42">
        <v>235371.32</v>
      </c>
      <c r="AH29">
        <v>1498</v>
      </c>
      <c r="AI29">
        <v>30967</v>
      </c>
      <c r="AJ29">
        <v>3381</v>
      </c>
      <c r="AK29">
        <v>3155</v>
      </c>
      <c r="AL29">
        <v>7692</v>
      </c>
      <c r="AM29">
        <v>1129</v>
      </c>
      <c r="AN29" s="41">
        <f t="shared" si="5"/>
        <v>0.23232932068618189</v>
      </c>
      <c r="AO29" s="41">
        <f t="shared" si="5"/>
        <v>0.26047643888019473</v>
      </c>
      <c r="AQ29" s="5">
        <v>41122</v>
      </c>
      <c r="AR29" s="42">
        <v>8781.3700000000008</v>
      </c>
      <c r="AS29">
        <v>71</v>
      </c>
      <c r="AT29">
        <v>753</v>
      </c>
      <c r="AU29">
        <v>156</v>
      </c>
      <c r="AV29">
        <v>207</v>
      </c>
      <c r="AW29">
        <v>464</v>
      </c>
      <c r="AX29">
        <v>57</v>
      </c>
      <c r="AY29" s="41">
        <f>AR29/$L29</f>
        <v>8.6678773216465679E-3</v>
      </c>
      <c r="AZ29" s="41">
        <f>AS29/$M29</f>
        <v>1.2345679012345678E-2</v>
      </c>
      <c r="BB29" s="5">
        <v>41122</v>
      </c>
      <c r="BC29" s="42">
        <v>15899.1</v>
      </c>
      <c r="BD29">
        <v>133</v>
      </c>
      <c r="BE29">
        <v>1080</v>
      </c>
      <c r="BF29">
        <v>386</v>
      </c>
      <c r="BG29">
        <v>223</v>
      </c>
      <c r="BH29">
        <v>628</v>
      </c>
      <c r="BI29">
        <v>85</v>
      </c>
      <c r="BJ29" s="41">
        <f>BC29/$L29</f>
        <v>1.5693615953386652E-2</v>
      </c>
      <c r="BK29" s="41">
        <f>BD29/$M29</f>
        <v>2.31264127977743E-2</v>
      </c>
    </row>
    <row r="30" spans="1:63" x14ac:dyDescent="0.25">
      <c r="A30" t="str">
        <f>IF(Config!A30 &lt;&gt; "",Config!A30,"")</f>
        <v/>
      </c>
      <c r="B30" t="str">
        <f>IF(Config!B30&lt;&gt;"",Config!B30,"")</f>
        <v/>
      </c>
      <c r="D30" s="7">
        <f t="shared" si="0"/>
        <v>35</v>
      </c>
      <c r="E30" s="6" t="str">
        <f t="shared" si="1"/>
        <v>Sat</v>
      </c>
      <c r="F30" s="27">
        <f t="shared" si="2"/>
        <v>41153</v>
      </c>
      <c r="G30">
        <f t="shared" si="3"/>
        <v>1</v>
      </c>
      <c r="H30">
        <f t="shared" si="4"/>
        <v>2012</v>
      </c>
      <c r="K30" s="5">
        <v>41153</v>
      </c>
      <c r="L30" s="42">
        <v>1015548.88</v>
      </c>
      <c r="M30">
        <v>6204</v>
      </c>
      <c r="N30">
        <v>169304</v>
      </c>
      <c r="O30">
        <v>11650</v>
      </c>
      <c r="P30">
        <v>9579</v>
      </c>
      <c r="Q30">
        <v>27450</v>
      </c>
      <c r="R30">
        <v>3397</v>
      </c>
      <c r="AF30" s="5">
        <v>41153</v>
      </c>
      <c r="AG30" s="42">
        <v>232086.23</v>
      </c>
      <c r="AH30">
        <v>1640</v>
      </c>
      <c r="AI30">
        <v>27496</v>
      </c>
      <c r="AJ30">
        <v>3623</v>
      </c>
      <c r="AK30">
        <v>3431</v>
      </c>
      <c r="AL30">
        <v>8667</v>
      </c>
      <c r="AM30">
        <v>1121</v>
      </c>
      <c r="AN30" s="41">
        <f t="shared" si="5"/>
        <v>0.22853280090270003</v>
      </c>
      <c r="AO30" s="41">
        <f t="shared" si="5"/>
        <v>0.26434558349451964</v>
      </c>
      <c r="AQ30" s="5">
        <v>41153</v>
      </c>
      <c r="AR30" s="42">
        <v>14870.89</v>
      </c>
      <c r="AS30">
        <v>81</v>
      </c>
      <c r="AT30">
        <v>998</v>
      </c>
      <c r="AU30">
        <v>212</v>
      </c>
      <c r="AV30">
        <v>220</v>
      </c>
      <c r="AW30">
        <v>525</v>
      </c>
      <c r="AX30">
        <v>39</v>
      </c>
      <c r="AY30" s="41">
        <f>AR30/$L30</f>
        <v>1.4643204569335943E-2</v>
      </c>
      <c r="AZ30" s="41">
        <f>AS30/$M30</f>
        <v>1.3056092843326886E-2</v>
      </c>
      <c r="BB30" s="5">
        <v>41153</v>
      </c>
      <c r="BC30" s="42">
        <v>24558</v>
      </c>
      <c r="BD30">
        <v>151</v>
      </c>
      <c r="BE30">
        <v>1073</v>
      </c>
      <c r="BF30">
        <v>407</v>
      </c>
      <c r="BG30">
        <v>285</v>
      </c>
      <c r="BH30">
        <v>805</v>
      </c>
      <c r="BI30">
        <v>100</v>
      </c>
      <c r="BJ30" s="41">
        <f>BC30/$L30</f>
        <v>2.4181997030019865E-2</v>
      </c>
      <c r="BK30" s="41">
        <f>BD30/$M30</f>
        <v>2.4339136041263702E-2</v>
      </c>
    </row>
    <row r="31" spans="1:63" x14ac:dyDescent="0.25">
      <c r="D31" s="7"/>
      <c r="E31" s="6"/>
      <c r="K31" s="5"/>
      <c r="AF31" s="5">
        <v>41000</v>
      </c>
      <c r="AG31">
        <v>4493.1499999999996</v>
      </c>
      <c r="AH31">
        <v>56</v>
      </c>
      <c r="AI31">
        <v>383</v>
      </c>
      <c r="AJ31">
        <v>124</v>
      </c>
      <c r="AK31">
        <v>146</v>
      </c>
      <c r="AL31">
        <v>475</v>
      </c>
      <c r="AM31">
        <v>76</v>
      </c>
      <c r="AQ31" s="5">
        <v>41000</v>
      </c>
      <c r="AR31">
        <v>0</v>
      </c>
      <c r="AS31">
        <v>0</v>
      </c>
      <c r="AT31">
        <v>0</v>
      </c>
      <c r="AU31">
        <v>2</v>
      </c>
      <c r="AV31">
        <v>11</v>
      </c>
      <c r="AW31">
        <v>14</v>
      </c>
      <c r="AX31">
        <v>0</v>
      </c>
      <c r="BB31" s="5">
        <v>41000</v>
      </c>
      <c r="BC31">
        <v>575.07000000000005</v>
      </c>
      <c r="BD31">
        <v>9</v>
      </c>
      <c r="BE31">
        <v>101</v>
      </c>
      <c r="BF31">
        <v>33</v>
      </c>
      <c r="BG31">
        <v>20</v>
      </c>
      <c r="BH31">
        <v>70</v>
      </c>
      <c r="BI31">
        <v>12</v>
      </c>
    </row>
    <row r="32" spans="1:63" x14ac:dyDescent="0.25">
      <c r="A32" t="str">
        <f>IF(Config!A32 &lt;&gt; "",Config!A32,"")</f>
        <v/>
      </c>
      <c r="B32" t="str">
        <f>IF(Config!B32&lt;&gt;"",Config!B32,"")</f>
        <v/>
      </c>
      <c r="D32" s="7" t="str">
        <f t="shared" si="0"/>
        <v/>
      </c>
      <c r="E32" s="6" t="str">
        <f t="shared" si="1"/>
        <v/>
      </c>
      <c r="F32" s="27" t="str">
        <f t="shared" ref="F32:F67" si="6">IF(K32&lt;&gt;"",MONTH(K32),"")</f>
        <v/>
      </c>
      <c r="G32" t="str">
        <f t="shared" si="3"/>
        <v/>
      </c>
      <c r="H32" t="str">
        <f t="shared" si="4"/>
        <v/>
      </c>
      <c r="K32" s="5"/>
    </row>
    <row r="33" spans="1:11" x14ac:dyDescent="0.25">
      <c r="A33" t="str">
        <f>IF(Config!A33 &lt;&gt; "",Config!A33,"")</f>
        <v/>
      </c>
      <c r="B33" t="str">
        <f>IF(Config!B33&lt;&gt;"",Config!B33,"")</f>
        <v/>
      </c>
      <c r="D33" s="7" t="str">
        <f t="shared" si="0"/>
        <v/>
      </c>
      <c r="E33" s="6" t="str">
        <f t="shared" si="1"/>
        <v/>
      </c>
      <c r="F33" s="27" t="str">
        <f t="shared" si="6"/>
        <v/>
      </c>
      <c r="G33" t="str">
        <f t="shared" si="3"/>
        <v/>
      </c>
      <c r="H33" t="str">
        <f t="shared" si="4"/>
        <v/>
      </c>
      <c r="K33" s="5"/>
    </row>
    <row r="34" spans="1:11" x14ac:dyDescent="0.25">
      <c r="A34" t="str">
        <f>IF(Config!A34 &lt;&gt; "",Config!A34,"")</f>
        <v/>
      </c>
      <c r="B34" t="str">
        <f>IF(Config!B34&lt;&gt;"",Config!B34,"")</f>
        <v/>
      </c>
      <c r="D34" s="7" t="str">
        <f t="shared" si="0"/>
        <v/>
      </c>
      <c r="E34" s="6" t="str">
        <f t="shared" si="1"/>
        <v/>
      </c>
      <c r="F34" s="27" t="str">
        <f t="shared" si="6"/>
        <v/>
      </c>
      <c r="G34" t="str">
        <f t="shared" si="3"/>
        <v/>
      </c>
      <c r="H34" t="str">
        <f t="shared" si="4"/>
        <v/>
      </c>
      <c r="K34" s="5"/>
    </row>
    <row r="35" spans="1:11" x14ac:dyDescent="0.25">
      <c r="A35" t="str">
        <f>IF(Config!A35 &lt;&gt; "",Config!A35,"")</f>
        <v/>
      </c>
      <c r="B35" t="str">
        <f>IF(Config!B35&lt;&gt;"",Config!B35,"")</f>
        <v/>
      </c>
      <c r="D35" s="7" t="str">
        <f t="shared" si="0"/>
        <v/>
      </c>
      <c r="E35" s="6" t="str">
        <f t="shared" si="1"/>
        <v/>
      </c>
      <c r="F35" s="27" t="str">
        <f t="shared" si="6"/>
        <v/>
      </c>
      <c r="G35" t="str">
        <f t="shared" si="3"/>
        <v/>
      </c>
      <c r="H35" t="str">
        <f t="shared" si="4"/>
        <v/>
      </c>
      <c r="K35" s="5"/>
    </row>
    <row r="36" spans="1:11" x14ac:dyDescent="0.25">
      <c r="A36" t="str">
        <f>IF(Config!A36 &lt;&gt; "",Config!A36,"")</f>
        <v/>
      </c>
      <c r="B36" t="str">
        <f>IF(Config!B36&lt;&gt;"",Config!B36,"")</f>
        <v/>
      </c>
      <c r="D36" s="7" t="str">
        <f t="shared" si="0"/>
        <v/>
      </c>
      <c r="E36" s="6" t="str">
        <f t="shared" si="1"/>
        <v/>
      </c>
      <c r="F36" s="27" t="str">
        <f t="shared" si="6"/>
        <v/>
      </c>
      <c r="G36" t="str">
        <f t="shared" si="3"/>
        <v/>
      </c>
      <c r="H36" t="str">
        <f t="shared" si="4"/>
        <v/>
      </c>
      <c r="K36" s="5"/>
    </row>
    <row r="37" spans="1:11" x14ac:dyDescent="0.25">
      <c r="A37" t="str">
        <f>IF(Config!A37 &lt;&gt; "",Config!A37,"")</f>
        <v/>
      </c>
      <c r="B37" t="str">
        <f>IF(Config!B37&lt;&gt;"",Config!B37,"")</f>
        <v/>
      </c>
      <c r="D37" s="7" t="str">
        <f t="shared" si="0"/>
        <v/>
      </c>
      <c r="E37" s="6" t="str">
        <f t="shared" si="1"/>
        <v/>
      </c>
      <c r="F37" s="27" t="str">
        <f t="shared" si="6"/>
        <v/>
      </c>
      <c r="G37" t="str">
        <f t="shared" si="3"/>
        <v/>
      </c>
      <c r="H37" t="str">
        <f t="shared" si="4"/>
        <v/>
      </c>
      <c r="K37" s="5"/>
    </row>
    <row r="38" spans="1:11" x14ac:dyDescent="0.25">
      <c r="A38" t="str">
        <f>IF(Config!A38 &lt;&gt; "",Config!A38,"")</f>
        <v/>
      </c>
      <c r="B38" t="str">
        <f>IF(Config!B38&lt;&gt;"",Config!B38,"")</f>
        <v/>
      </c>
      <c r="D38" s="7" t="str">
        <f t="shared" si="0"/>
        <v/>
      </c>
      <c r="E38" s="6" t="str">
        <f t="shared" si="1"/>
        <v/>
      </c>
      <c r="F38" s="27" t="str">
        <f t="shared" si="6"/>
        <v/>
      </c>
      <c r="G38" t="str">
        <f t="shared" si="3"/>
        <v/>
      </c>
      <c r="H38" t="str">
        <f t="shared" si="4"/>
        <v/>
      </c>
      <c r="K38" s="5"/>
    </row>
    <row r="39" spans="1:11" x14ac:dyDescent="0.25">
      <c r="A39" t="str">
        <f>IF(Config!A39 &lt;&gt; "",Config!A39,"")</f>
        <v/>
      </c>
      <c r="B39" t="str">
        <f>IF(Config!B39&lt;&gt;"",Config!B39,"")</f>
        <v/>
      </c>
      <c r="D39" s="7" t="str">
        <f t="shared" si="0"/>
        <v/>
      </c>
      <c r="E39" s="6" t="str">
        <f t="shared" si="1"/>
        <v/>
      </c>
      <c r="F39" s="27" t="str">
        <f t="shared" si="6"/>
        <v/>
      </c>
      <c r="G39" t="str">
        <f t="shared" si="3"/>
        <v/>
      </c>
      <c r="H39" t="str">
        <f t="shared" si="4"/>
        <v/>
      </c>
      <c r="K39" s="5"/>
    </row>
    <row r="40" spans="1:11" x14ac:dyDescent="0.25">
      <c r="A40" t="str">
        <f>IF(Config!A40 &lt;&gt; "",Config!A40,"")</f>
        <v/>
      </c>
      <c r="B40" t="str">
        <f>IF(Config!B40&lt;&gt;"",Config!B40,"")</f>
        <v/>
      </c>
      <c r="D40" s="7" t="str">
        <f t="shared" si="0"/>
        <v/>
      </c>
      <c r="E40" s="6" t="str">
        <f t="shared" si="1"/>
        <v/>
      </c>
      <c r="F40" s="27" t="str">
        <f t="shared" si="6"/>
        <v/>
      </c>
      <c r="G40" t="str">
        <f t="shared" si="3"/>
        <v/>
      </c>
      <c r="H40" t="str">
        <f t="shared" si="4"/>
        <v/>
      </c>
      <c r="K40" s="5"/>
    </row>
    <row r="41" spans="1:11" x14ac:dyDescent="0.25">
      <c r="A41" t="str">
        <f>IF(Config!A41 &lt;&gt; "",Config!A41,"")</f>
        <v/>
      </c>
      <c r="B41" t="str">
        <f>IF(Config!B41&lt;&gt;"",Config!B41,"")</f>
        <v/>
      </c>
      <c r="D41" s="7" t="str">
        <f t="shared" si="0"/>
        <v/>
      </c>
      <c r="E41" s="6" t="str">
        <f t="shared" si="1"/>
        <v/>
      </c>
      <c r="F41" s="27" t="str">
        <f t="shared" si="6"/>
        <v/>
      </c>
      <c r="G41" t="str">
        <f t="shared" si="3"/>
        <v/>
      </c>
      <c r="H41" t="str">
        <f t="shared" si="4"/>
        <v/>
      </c>
      <c r="K41" s="5"/>
    </row>
    <row r="42" spans="1:11" x14ac:dyDescent="0.25">
      <c r="D42" s="7" t="str">
        <f t="shared" si="0"/>
        <v/>
      </c>
      <c r="E42" s="6" t="str">
        <f t="shared" si="1"/>
        <v/>
      </c>
      <c r="F42" s="27" t="str">
        <f t="shared" si="6"/>
        <v/>
      </c>
      <c r="G42" t="str">
        <f t="shared" si="3"/>
        <v/>
      </c>
      <c r="H42" t="str">
        <f t="shared" si="4"/>
        <v/>
      </c>
      <c r="K42" s="5"/>
    </row>
    <row r="43" spans="1:11" x14ac:dyDescent="0.25">
      <c r="D43" s="7" t="str">
        <f t="shared" si="0"/>
        <v/>
      </c>
      <c r="E43" s="6" t="str">
        <f t="shared" si="1"/>
        <v/>
      </c>
      <c r="F43" s="27" t="str">
        <f t="shared" si="6"/>
        <v/>
      </c>
      <c r="G43" t="str">
        <f t="shared" si="3"/>
        <v/>
      </c>
      <c r="H43" t="str">
        <f t="shared" si="4"/>
        <v/>
      </c>
      <c r="K43" s="5"/>
    </row>
    <row r="44" spans="1:11" x14ac:dyDescent="0.25">
      <c r="D44" s="7" t="str">
        <f t="shared" si="0"/>
        <v/>
      </c>
      <c r="E44" s="6" t="str">
        <f t="shared" si="1"/>
        <v/>
      </c>
      <c r="F44" s="27" t="str">
        <f t="shared" si="6"/>
        <v/>
      </c>
      <c r="G44" t="str">
        <f t="shared" si="3"/>
        <v/>
      </c>
      <c r="H44" t="str">
        <f t="shared" si="4"/>
        <v/>
      </c>
      <c r="K44" s="5"/>
    </row>
    <row r="45" spans="1:11" x14ac:dyDescent="0.25">
      <c r="D45" s="7" t="str">
        <f t="shared" si="0"/>
        <v/>
      </c>
      <c r="E45" s="6" t="str">
        <f t="shared" si="1"/>
        <v/>
      </c>
      <c r="F45" s="27" t="str">
        <f t="shared" si="6"/>
        <v/>
      </c>
      <c r="G45" t="str">
        <f t="shared" si="3"/>
        <v/>
      </c>
      <c r="H45" t="str">
        <f t="shared" si="4"/>
        <v/>
      </c>
      <c r="K45" s="5"/>
    </row>
    <row r="46" spans="1:11" x14ac:dyDescent="0.25">
      <c r="D46" s="7" t="str">
        <f t="shared" si="0"/>
        <v/>
      </c>
      <c r="E46" s="6" t="str">
        <f t="shared" si="1"/>
        <v/>
      </c>
      <c r="F46" s="27" t="str">
        <f t="shared" si="6"/>
        <v/>
      </c>
      <c r="G46" t="str">
        <f t="shared" si="3"/>
        <v/>
      </c>
      <c r="H46" t="str">
        <f t="shared" si="4"/>
        <v/>
      </c>
      <c r="K46" s="5"/>
    </row>
    <row r="47" spans="1:11" x14ac:dyDescent="0.25">
      <c r="D47" s="7" t="str">
        <f t="shared" si="0"/>
        <v/>
      </c>
      <c r="E47" s="6" t="str">
        <f t="shared" si="1"/>
        <v/>
      </c>
      <c r="F47" s="27" t="str">
        <f t="shared" si="6"/>
        <v/>
      </c>
      <c r="G47" t="str">
        <f t="shared" si="3"/>
        <v/>
      </c>
      <c r="H47" t="str">
        <f t="shared" si="4"/>
        <v/>
      </c>
      <c r="K47" s="5"/>
    </row>
    <row r="48" spans="1:11" x14ac:dyDescent="0.25">
      <c r="D48" s="7" t="str">
        <f t="shared" si="0"/>
        <v/>
      </c>
      <c r="E48" s="6" t="str">
        <f t="shared" si="1"/>
        <v/>
      </c>
      <c r="F48" s="27" t="str">
        <f t="shared" si="6"/>
        <v/>
      </c>
      <c r="G48" t="str">
        <f t="shared" si="3"/>
        <v/>
      </c>
      <c r="H48" t="str">
        <f t="shared" si="4"/>
        <v/>
      </c>
      <c r="K48" s="5"/>
    </row>
    <row r="49" spans="4:11" x14ac:dyDescent="0.25">
      <c r="D49" s="7" t="str">
        <f t="shared" si="0"/>
        <v/>
      </c>
      <c r="E49" s="6" t="str">
        <f t="shared" si="1"/>
        <v/>
      </c>
      <c r="F49" s="27" t="str">
        <f t="shared" si="6"/>
        <v/>
      </c>
      <c r="G49" t="str">
        <f t="shared" si="3"/>
        <v/>
      </c>
      <c r="H49" t="str">
        <f t="shared" si="4"/>
        <v/>
      </c>
      <c r="K49" s="5"/>
    </row>
    <row r="50" spans="4:11" x14ac:dyDescent="0.25">
      <c r="D50" s="7" t="str">
        <f t="shared" si="0"/>
        <v/>
      </c>
      <c r="E50" s="6" t="str">
        <f t="shared" si="1"/>
        <v/>
      </c>
      <c r="F50" s="27" t="str">
        <f t="shared" si="6"/>
        <v/>
      </c>
      <c r="G50" t="str">
        <f t="shared" si="3"/>
        <v/>
      </c>
      <c r="H50" t="str">
        <f t="shared" si="4"/>
        <v/>
      </c>
      <c r="K50" s="5"/>
    </row>
    <row r="51" spans="4:11" x14ac:dyDescent="0.25">
      <c r="D51" s="7" t="str">
        <f t="shared" si="0"/>
        <v/>
      </c>
      <c r="E51" s="6" t="str">
        <f t="shared" si="1"/>
        <v/>
      </c>
      <c r="F51" s="27" t="str">
        <f t="shared" si="6"/>
        <v/>
      </c>
      <c r="G51" t="str">
        <f t="shared" si="3"/>
        <v/>
      </c>
      <c r="H51" t="str">
        <f t="shared" si="4"/>
        <v/>
      </c>
      <c r="K51" s="5"/>
    </row>
    <row r="52" spans="4:11" x14ac:dyDescent="0.25">
      <c r="D52" s="7" t="str">
        <f t="shared" si="0"/>
        <v/>
      </c>
      <c r="E52" s="6" t="str">
        <f t="shared" si="1"/>
        <v/>
      </c>
      <c r="F52" s="27" t="str">
        <f t="shared" si="6"/>
        <v/>
      </c>
      <c r="G52" t="str">
        <f t="shared" si="3"/>
        <v/>
      </c>
      <c r="H52" t="str">
        <f t="shared" si="4"/>
        <v/>
      </c>
      <c r="K52" s="5"/>
    </row>
    <row r="53" spans="4:11" x14ac:dyDescent="0.25">
      <c r="D53" s="7" t="str">
        <f t="shared" si="0"/>
        <v/>
      </c>
      <c r="E53" s="6" t="str">
        <f t="shared" si="1"/>
        <v/>
      </c>
      <c r="F53" s="27" t="str">
        <f t="shared" si="6"/>
        <v/>
      </c>
      <c r="G53" t="str">
        <f t="shared" si="3"/>
        <v/>
      </c>
      <c r="H53" t="str">
        <f t="shared" si="4"/>
        <v/>
      </c>
      <c r="K53" s="5"/>
    </row>
    <row r="54" spans="4:11" x14ac:dyDescent="0.25">
      <c r="D54" s="7" t="str">
        <f t="shared" si="0"/>
        <v/>
      </c>
      <c r="E54" s="6" t="str">
        <f t="shared" si="1"/>
        <v/>
      </c>
      <c r="F54" s="27" t="str">
        <f t="shared" si="6"/>
        <v/>
      </c>
      <c r="G54" t="str">
        <f t="shared" si="3"/>
        <v/>
      </c>
      <c r="H54" t="str">
        <f t="shared" si="4"/>
        <v/>
      </c>
      <c r="K54" s="5"/>
    </row>
    <row r="55" spans="4:11" x14ac:dyDescent="0.25">
      <c r="D55" s="7" t="str">
        <f t="shared" si="0"/>
        <v/>
      </c>
      <c r="E55" s="6" t="str">
        <f t="shared" si="1"/>
        <v/>
      </c>
      <c r="F55" s="27" t="str">
        <f t="shared" si="6"/>
        <v/>
      </c>
      <c r="G55" t="str">
        <f t="shared" si="3"/>
        <v/>
      </c>
      <c r="H55" t="str">
        <f t="shared" si="4"/>
        <v/>
      </c>
      <c r="K55" s="5"/>
    </row>
    <row r="56" spans="4:11" x14ac:dyDescent="0.25">
      <c r="D56" s="7" t="str">
        <f t="shared" si="0"/>
        <v/>
      </c>
      <c r="E56" s="6" t="str">
        <f t="shared" si="1"/>
        <v/>
      </c>
      <c r="F56" s="27" t="str">
        <f t="shared" si="6"/>
        <v/>
      </c>
      <c r="G56" t="str">
        <f t="shared" si="3"/>
        <v/>
      </c>
      <c r="H56" t="str">
        <f t="shared" si="4"/>
        <v/>
      </c>
      <c r="K56" s="5"/>
    </row>
    <row r="57" spans="4:11" x14ac:dyDescent="0.25">
      <c r="D57" s="7" t="str">
        <f t="shared" si="0"/>
        <v/>
      </c>
      <c r="E57" s="6" t="str">
        <f t="shared" si="1"/>
        <v/>
      </c>
      <c r="F57" s="27" t="str">
        <f t="shared" si="6"/>
        <v/>
      </c>
      <c r="G57" t="str">
        <f t="shared" si="3"/>
        <v/>
      </c>
      <c r="H57" t="str">
        <f t="shared" si="4"/>
        <v/>
      </c>
      <c r="K57" s="5"/>
    </row>
    <row r="58" spans="4:11" x14ac:dyDescent="0.25">
      <c r="D58" s="7" t="str">
        <f t="shared" si="0"/>
        <v/>
      </c>
      <c r="E58" s="6" t="str">
        <f t="shared" si="1"/>
        <v/>
      </c>
      <c r="F58" s="27" t="str">
        <f t="shared" si="6"/>
        <v/>
      </c>
      <c r="G58" t="str">
        <f t="shared" si="3"/>
        <v/>
      </c>
      <c r="H58" t="str">
        <f t="shared" si="4"/>
        <v/>
      </c>
      <c r="K58" s="5"/>
    </row>
    <row r="59" spans="4:11" x14ac:dyDescent="0.25">
      <c r="D59" s="7" t="str">
        <f t="shared" si="0"/>
        <v/>
      </c>
      <c r="E59" s="6" t="str">
        <f t="shared" si="1"/>
        <v/>
      </c>
      <c r="F59" s="27" t="str">
        <f t="shared" si="6"/>
        <v/>
      </c>
      <c r="G59" t="str">
        <f t="shared" si="3"/>
        <v/>
      </c>
      <c r="H59" t="str">
        <f t="shared" si="4"/>
        <v/>
      </c>
      <c r="K59" s="5"/>
    </row>
    <row r="60" spans="4:11" x14ac:dyDescent="0.25">
      <c r="D60" s="7" t="str">
        <f t="shared" si="0"/>
        <v/>
      </c>
      <c r="E60" s="6" t="str">
        <f t="shared" si="1"/>
        <v/>
      </c>
      <c r="F60" s="27" t="str">
        <f t="shared" si="6"/>
        <v/>
      </c>
      <c r="G60" t="str">
        <f t="shared" si="3"/>
        <v/>
      </c>
      <c r="H60" t="str">
        <f t="shared" si="4"/>
        <v/>
      </c>
      <c r="K60" s="5"/>
    </row>
    <row r="61" spans="4:11" x14ac:dyDescent="0.25">
      <c r="D61" s="7" t="str">
        <f t="shared" si="0"/>
        <v/>
      </c>
      <c r="E61" s="6" t="str">
        <f t="shared" si="1"/>
        <v/>
      </c>
      <c r="F61" s="27" t="str">
        <f t="shared" si="6"/>
        <v/>
      </c>
      <c r="G61" t="str">
        <f t="shared" si="3"/>
        <v/>
      </c>
      <c r="H61" t="str">
        <f t="shared" si="4"/>
        <v/>
      </c>
      <c r="K61" s="5"/>
    </row>
    <row r="62" spans="4:11" x14ac:dyDescent="0.25">
      <c r="D62" s="7" t="str">
        <f t="shared" si="0"/>
        <v/>
      </c>
      <c r="E62" s="6" t="str">
        <f t="shared" si="1"/>
        <v/>
      </c>
      <c r="F62" s="27" t="str">
        <f t="shared" si="6"/>
        <v/>
      </c>
      <c r="G62" t="str">
        <f t="shared" si="3"/>
        <v/>
      </c>
      <c r="H62" t="str">
        <f t="shared" si="4"/>
        <v/>
      </c>
      <c r="K62" s="5"/>
    </row>
    <row r="63" spans="4:11" x14ac:dyDescent="0.25">
      <c r="D63" s="7" t="str">
        <f t="shared" si="0"/>
        <v/>
      </c>
      <c r="E63" s="6" t="str">
        <f t="shared" si="1"/>
        <v/>
      </c>
      <c r="F63" s="27" t="str">
        <f t="shared" si="6"/>
        <v/>
      </c>
      <c r="G63" t="str">
        <f t="shared" si="3"/>
        <v/>
      </c>
      <c r="H63" t="str">
        <f t="shared" si="4"/>
        <v/>
      </c>
      <c r="K63" s="5"/>
    </row>
    <row r="64" spans="4:11" x14ac:dyDescent="0.25">
      <c r="D64" s="7" t="str">
        <f t="shared" si="0"/>
        <v/>
      </c>
      <c r="E64" s="6" t="str">
        <f t="shared" si="1"/>
        <v/>
      </c>
      <c r="F64" s="27" t="str">
        <f t="shared" si="6"/>
        <v/>
      </c>
      <c r="G64" t="str">
        <f t="shared" si="3"/>
        <v/>
      </c>
      <c r="H64" t="str">
        <f t="shared" si="4"/>
        <v/>
      </c>
      <c r="K64" s="5"/>
    </row>
    <row r="65" spans="4:11" x14ac:dyDescent="0.25">
      <c r="D65" s="7" t="str">
        <f t="shared" si="0"/>
        <v/>
      </c>
      <c r="E65" s="6" t="str">
        <f t="shared" si="1"/>
        <v/>
      </c>
      <c r="F65" s="27" t="str">
        <f t="shared" si="6"/>
        <v/>
      </c>
      <c r="G65" t="str">
        <f t="shared" si="3"/>
        <v/>
      </c>
      <c r="H65" t="str">
        <f t="shared" si="4"/>
        <v/>
      </c>
      <c r="K65" s="5"/>
    </row>
    <row r="66" spans="4:11" x14ac:dyDescent="0.25">
      <c r="D66" s="7" t="str">
        <f t="shared" si="0"/>
        <v/>
      </c>
      <c r="E66" s="6" t="str">
        <f t="shared" si="1"/>
        <v/>
      </c>
      <c r="F66" s="27" t="str">
        <f t="shared" si="6"/>
        <v/>
      </c>
      <c r="G66" t="str">
        <f t="shared" si="3"/>
        <v/>
      </c>
      <c r="H66" t="str">
        <f t="shared" si="4"/>
        <v/>
      </c>
      <c r="K66" s="5"/>
    </row>
    <row r="67" spans="4:11" x14ac:dyDescent="0.25">
      <c r="D67" s="7" t="str">
        <f t="shared" si="0"/>
        <v/>
      </c>
      <c r="E67" s="6" t="str">
        <f t="shared" si="1"/>
        <v/>
      </c>
      <c r="F67" s="27" t="str">
        <f t="shared" si="6"/>
        <v/>
      </c>
      <c r="G67" t="str">
        <f t="shared" si="3"/>
        <v/>
      </c>
      <c r="H67" t="str">
        <f t="shared" si="4"/>
        <v/>
      </c>
      <c r="K67" s="5"/>
    </row>
    <row r="68" spans="4:11" x14ac:dyDescent="0.25">
      <c r="D68" s="7" t="str">
        <f t="shared" ref="D68:D131" si="7">IF(K68&lt;&gt;"",1+INT((K68-(DATE(YEAR(K68),1,2)-WEEKDAY(DATE(YEAR(K68),1,1))))/7),"")</f>
        <v/>
      </c>
      <c r="E68" s="6" t="str">
        <f t="shared" ref="E68:E131" si="8">IF(K68&lt;&gt;"",TEXT(K68,"ddd"),"")</f>
        <v/>
      </c>
      <c r="F68" s="27" t="str">
        <f t="shared" ref="F68:F131" si="9">IF(K68&lt;&gt;"",MONTH(K68),"")</f>
        <v/>
      </c>
      <c r="G68" t="str">
        <f t="shared" ref="G68:G131" si="10">IF(K68&lt;&gt;"",DAY(K68),"")</f>
        <v/>
      </c>
      <c r="H68" t="str">
        <f t="shared" ref="H68:H131" si="11">IF(K68&lt;&gt;"",YEAR(K68),"")</f>
        <v/>
      </c>
      <c r="K68" s="5"/>
    </row>
    <row r="69" spans="4:11" x14ac:dyDescent="0.25">
      <c r="D69" s="7" t="str">
        <f t="shared" si="7"/>
        <v/>
      </c>
      <c r="E69" s="6" t="str">
        <f t="shared" si="8"/>
        <v/>
      </c>
      <c r="F69" s="27" t="str">
        <f t="shared" si="9"/>
        <v/>
      </c>
      <c r="G69" t="str">
        <f t="shared" si="10"/>
        <v/>
      </c>
      <c r="H69" t="str">
        <f t="shared" si="11"/>
        <v/>
      </c>
      <c r="K69" s="5"/>
    </row>
    <row r="70" spans="4:11" x14ac:dyDescent="0.25">
      <c r="D70" s="7" t="str">
        <f t="shared" si="7"/>
        <v/>
      </c>
      <c r="E70" s="6" t="str">
        <f t="shared" si="8"/>
        <v/>
      </c>
      <c r="F70" s="27" t="str">
        <f t="shared" si="9"/>
        <v/>
      </c>
      <c r="G70" t="str">
        <f t="shared" si="10"/>
        <v/>
      </c>
      <c r="H70" t="str">
        <f t="shared" si="11"/>
        <v/>
      </c>
      <c r="K70" s="5"/>
    </row>
    <row r="71" spans="4:11" x14ac:dyDescent="0.25">
      <c r="D71" s="7" t="str">
        <f t="shared" si="7"/>
        <v/>
      </c>
      <c r="E71" s="6" t="str">
        <f t="shared" si="8"/>
        <v/>
      </c>
      <c r="F71" s="27" t="str">
        <f t="shared" si="9"/>
        <v/>
      </c>
      <c r="G71" t="str">
        <f t="shared" si="10"/>
        <v/>
      </c>
      <c r="H71" t="str">
        <f t="shared" si="11"/>
        <v/>
      </c>
      <c r="K71" s="5"/>
    </row>
    <row r="72" spans="4:11" x14ac:dyDescent="0.25">
      <c r="D72" s="7" t="str">
        <f t="shared" si="7"/>
        <v/>
      </c>
      <c r="E72" s="6" t="str">
        <f t="shared" si="8"/>
        <v/>
      </c>
      <c r="F72" s="27" t="str">
        <f t="shared" si="9"/>
        <v/>
      </c>
      <c r="G72" t="str">
        <f t="shared" si="10"/>
        <v/>
      </c>
      <c r="H72" t="str">
        <f t="shared" si="11"/>
        <v/>
      </c>
      <c r="K72" s="5"/>
    </row>
    <row r="73" spans="4:11" x14ac:dyDescent="0.25">
      <c r="D73" s="7" t="str">
        <f t="shared" si="7"/>
        <v/>
      </c>
      <c r="E73" s="6" t="str">
        <f t="shared" si="8"/>
        <v/>
      </c>
      <c r="F73" s="27" t="str">
        <f t="shared" si="9"/>
        <v/>
      </c>
      <c r="G73" t="str">
        <f t="shared" si="10"/>
        <v/>
      </c>
      <c r="H73" t="str">
        <f t="shared" si="11"/>
        <v/>
      </c>
      <c r="K73" s="5"/>
    </row>
    <row r="74" spans="4:11" x14ac:dyDescent="0.25">
      <c r="D74" s="7" t="str">
        <f t="shared" si="7"/>
        <v/>
      </c>
      <c r="E74" s="6" t="str">
        <f t="shared" si="8"/>
        <v/>
      </c>
      <c r="F74" s="27" t="str">
        <f t="shared" si="9"/>
        <v/>
      </c>
      <c r="G74" t="str">
        <f t="shared" si="10"/>
        <v/>
      </c>
      <c r="H74" t="str">
        <f t="shared" si="11"/>
        <v/>
      </c>
      <c r="K74" s="5"/>
    </row>
    <row r="75" spans="4:11" x14ac:dyDescent="0.25">
      <c r="D75" s="7" t="str">
        <f t="shared" si="7"/>
        <v/>
      </c>
      <c r="E75" s="6" t="str">
        <f t="shared" si="8"/>
        <v/>
      </c>
      <c r="F75" s="27" t="str">
        <f t="shared" si="9"/>
        <v/>
      </c>
      <c r="G75" t="str">
        <f t="shared" si="10"/>
        <v/>
      </c>
      <c r="H75" t="str">
        <f t="shared" si="11"/>
        <v/>
      </c>
      <c r="K75" s="5"/>
    </row>
    <row r="76" spans="4:11" x14ac:dyDescent="0.25">
      <c r="D76" s="7" t="str">
        <f t="shared" si="7"/>
        <v/>
      </c>
      <c r="E76" s="6" t="str">
        <f t="shared" si="8"/>
        <v/>
      </c>
      <c r="F76" s="27" t="str">
        <f t="shared" si="9"/>
        <v/>
      </c>
      <c r="G76" t="str">
        <f t="shared" si="10"/>
        <v/>
      </c>
      <c r="H76" t="str">
        <f t="shared" si="11"/>
        <v/>
      </c>
      <c r="K76" s="5"/>
    </row>
    <row r="77" spans="4:11" x14ac:dyDescent="0.25">
      <c r="D77" s="7" t="str">
        <f t="shared" si="7"/>
        <v/>
      </c>
      <c r="E77" s="6" t="str">
        <f t="shared" si="8"/>
        <v/>
      </c>
      <c r="F77" s="27" t="str">
        <f t="shared" si="9"/>
        <v/>
      </c>
      <c r="G77" t="str">
        <f t="shared" si="10"/>
        <v/>
      </c>
      <c r="H77" t="str">
        <f t="shared" si="11"/>
        <v/>
      </c>
      <c r="K77" s="5"/>
    </row>
    <row r="78" spans="4:11" x14ac:dyDescent="0.25">
      <c r="D78" s="7" t="str">
        <f t="shared" si="7"/>
        <v/>
      </c>
      <c r="E78" s="6" t="str">
        <f t="shared" si="8"/>
        <v/>
      </c>
      <c r="F78" s="27" t="str">
        <f t="shared" si="9"/>
        <v/>
      </c>
      <c r="G78" t="str">
        <f t="shared" si="10"/>
        <v/>
      </c>
      <c r="H78" t="str">
        <f t="shared" si="11"/>
        <v/>
      </c>
      <c r="K78" s="5"/>
    </row>
    <row r="79" spans="4:11" x14ac:dyDescent="0.25">
      <c r="D79" s="7" t="str">
        <f t="shared" si="7"/>
        <v/>
      </c>
      <c r="E79" s="6" t="str">
        <f t="shared" si="8"/>
        <v/>
      </c>
      <c r="F79" s="27" t="str">
        <f t="shared" si="9"/>
        <v/>
      </c>
      <c r="G79" t="str">
        <f t="shared" si="10"/>
        <v/>
      </c>
      <c r="H79" t="str">
        <f t="shared" si="11"/>
        <v/>
      </c>
      <c r="K79" s="5"/>
    </row>
    <row r="80" spans="4:11" x14ac:dyDescent="0.25">
      <c r="D80" s="7" t="str">
        <f t="shared" si="7"/>
        <v/>
      </c>
      <c r="E80" s="6" t="str">
        <f t="shared" si="8"/>
        <v/>
      </c>
      <c r="F80" s="27" t="str">
        <f t="shared" si="9"/>
        <v/>
      </c>
      <c r="G80" t="str">
        <f t="shared" si="10"/>
        <v/>
      </c>
      <c r="H80" t="str">
        <f t="shared" si="11"/>
        <v/>
      </c>
      <c r="K80" s="5"/>
    </row>
    <row r="81" spans="4:11" x14ac:dyDescent="0.25">
      <c r="D81" s="7" t="str">
        <f t="shared" si="7"/>
        <v/>
      </c>
      <c r="E81" s="6" t="str">
        <f t="shared" si="8"/>
        <v/>
      </c>
      <c r="F81" s="27" t="str">
        <f t="shared" si="9"/>
        <v/>
      </c>
      <c r="G81" t="str">
        <f t="shared" si="10"/>
        <v/>
      </c>
      <c r="H81" t="str">
        <f t="shared" si="11"/>
        <v/>
      </c>
      <c r="K81" s="5"/>
    </row>
    <row r="82" spans="4:11" x14ac:dyDescent="0.25">
      <c r="D82" s="7" t="str">
        <f t="shared" si="7"/>
        <v/>
      </c>
      <c r="E82" s="6" t="str">
        <f t="shared" si="8"/>
        <v/>
      </c>
      <c r="F82" s="27" t="str">
        <f t="shared" si="9"/>
        <v/>
      </c>
      <c r="G82" t="str">
        <f t="shared" si="10"/>
        <v/>
      </c>
      <c r="H82" t="str">
        <f t="shared" si="11"/>
        <v/>
      </c>
      <c r="K82" s="5"/>
    </row>
    <row r="83" spans="4:11" x14ac:dyDescent="0.25">
      <c r="D83" s="7" t="str">
        <f t="shared" si="7"/>
        <v/>
      </c>
      <c r="E83" s="6" t="str">
        <f t="shared" si="8"/>
        <v/>
      </c>
      <c r="F83" s="27" t="str">
        <f t="shared" si="9"/>
        <v/>
      </c>
      <c r="G83" t="str">
        <f t="shared" si="10"/>
        <v/>
      </c>
      <c r="H83" t="str">
        <f t="shared" si="11"/>
        <v/>
      </c>
      <c r="K83" s="5"/>
    </row>
    <row r="84" spans="4:11" x14ac:dyDescent="0.25">
      <c r="D84" s="7" t="str">
        <f t="shared" si="7"/>
        <v/>
      </c>
      <c r="E84" s="6" t="str">
        <f t="shared" si="8"/>
        <v/>
      </c>
      <c r="F84" s="27" t="str">
        <f t="shared" si="9"/>
        <v/>
      </c>
      <c r="G84" t="str">
        <f t="shared" si="10"/>
        <v/>
      </c>
      <c r="H84" t="str">
        <f t="shared" si="11"/>
        <v/>
      </c>
      <c r="K84" s="5"/>
    </row>
    <row r="85" spans="4:11" x14ac:dyDescent="0.25">
      <c r="D85" s="7" t="str">
        <f t="shared" si="7"/>
        <v/>
      </c>
      <c r="E85" s="6" t="str">
        <f t="shared" si="8"/>
        <v/>
      </c>
      <c r="F85" s="27" t="str">
        <f t="shared" si="9"/>
        <v/>
      </c>
      <c r="G85" t="str">
        <f t="shared" si="10"/>
        <v/>
      </c>
      <c r="H85" t="str">
        <f t="shared" si="11"/>
        <v/>
      </c>
      <c r="K85" s="5"/>
    </row>
    <row r="86" spans="4:11" x14ac:dyDescent="0.25">
      <c r="D86" s="7" t="str">
        <f t="shared" si="7"/>
        <v/>
      </c>
      <c r="E86" s="6" t="str">
        <f t="shared" si="8"/>
        <v/>
      </c>
      <c r="F86" s="27" t="str">
        <f t="shared" si="9"/>
        <v/>
      </c>
      <c r="G86" t="str">
        <f t="shared" si="10"/>
        <v/>
      </c>
      <c r="H86" t="str">
        <f t="shared" si="11"/>
        <v/>
      </c>
      <c r="K86" s="5"/>
    </row>
    <row r="87" spans="4:11" x14ac:dyDescent="0.25">
      <c r="D87" s="7" t="str">
        <f t="shared" si="7"/>
        <v/>
      </c>
      <c r="E87" s="6" t="str">
        <f t="shared" si="8"/>
        <v/>
      </c>
      <c r="F87" s="27" t="str">
        <f t="shared" si="9"/>
        <v/>
      </c>
      <c r="G87" t="str">
        <f t="shared" si="10"/>
        <v/>
      </c>
      <c r="H87" t="str">
        <f t="shared" si="11"/>
        <v/>
      </c>
      <c r="K87" s="5"/>
    </row>
    <row r="88" spans="4:11" x14ac:dyDescent="0.25">
      <c r="D88" s="7" t="str">
        <f t="shared" si="7"/>
        <v/>
      </c>
      <c r="E88" s="6" t="str">
        <f t="shared" si="8"/>
        <v/>
      </c>
      <c r="F88" s="27" t="str">
        <f t="shared" si="9"/>
        <v/>
      </c>
      <c r="G88" t="str">
        <f t="shared" si="10"/>
        <v/>
      </c>
      <c r="H88" t="str">
        <f t="shared" si="11"/>
        <v/>
      </c>
      <c r="K88" s="5"/>
    </row>
    <row r="89" spans="4:11" x14ac:dyDescent="0.25">
      <c r="D89" s="7" t="str">
        <f t="shared" si="7"/>
        <v/>
      </c>
      <c r="E89" s="6" t="str">
        <f t="shared" si="8"/>
        <v/>
      </c>
      <c r="F89" s="27" t="str">
        <f t="shared" si="9"/>
        <v/>
      </c>
      <c r="G89" t="str">
        <f t="shared" si="10"/>
        <v/>
      </c>
      <c r="H89" t="str">
        <f t="shared" si="11"/>
        <v/>
      </c>
      <c r="K89" s="5"/>
    </row>
    <row r="90" spans="4:11" x14ac:dyDescent="0.25">
      <c r="D90" s="7" t="str">
        <f t="shared" si="7"/>
        <v/>
      </c>
      <c r="E90" s="6" t="str">
        <f t="shared" si="8"/>
        <v/>
      </c>
      <c r="F90" s="27" t="str">
        <f t="shared" si="9"/>
        <v/>
      </c>
      <c r="G90" t="str">
        <f t="shared" si="10"/>
        <v/>
      </c>
      <c r="H90" t="str">
        <f t="shared" si="11"/>
        <v/>
      </c>
      <c r="K90" s="5"/>
    </row>
    <row r="91" spans="4:11" x14ac:dyDescent="0.25">
      <c r="D91" s="7" t="str">
        <f t="shared" si="7"/>
        <v/>
      </c>
      <c r="E91" s="6" t="str">
        <f t="shared" si="8"/>
        <v/>
      </c>
      <c r="F91" s="27" t="str">
        <f t="shared" si="9"/>
        <v/>
      </c>
      <c r="G91" t="str">
        <f t="shared" si="10"/>
        <v/>
      </c>
      <c r="H91" t="str">
        <f t="shared" si="11"/>
        <v/>
      </c>
      <c r="K91" s="5"/>
    </row>
    <row r="92" spans="4:11" x14ac:dyDescent="0.25">
      <c r="D92" s="7" t="str">
        <f t="shared" si="7"/>
        <v/>
      </c>
      <c r="E92" s="6" t="str">
        <f t="shared" si="8"/>
        <v/>
      </c>
      <c r="F92" s="27" t="str">
        <f t="shared" si="9"/>
        <v/>
      </c>
      <c r="G92" t="str">
        <f t="shared" si="10"/>
        <v/>
      </c>
      <c r="H92" t="str">
        <f t="shared" si="11"/>
        <v/>
      </c>
      <c r="K92" s="5"/>
    </row>
    <row r="93" spans="4:11" x14ac:dyDescent="0.25">
      <c r="D93" s="7" t="str">
        <f t="shared" si="7"/>
        <v/>
      </c>
      <c r="E93" s="6" t="str">
        <f t="shared" si="8"/>
        <v/>
      </c>
      <c r="F93" s="27" t="str">
        <f t="shared" si="9"/>
        <v/>
      </c>
      <c r="G93" t="str">
        <f t="shared" si="10"/>
        <v/>
      </c>
      <c r="H93" t="str">
        <f t="shared" si="11"/>
        <v/>
      </c>
      <c r="K93" s="5"/>
    </row>
    <row r="94" spans="4:11" x14ac:dyDescent="0.25">
      <c r="D94" s="7" t="str">
        <f t="shared" si="7"/>
        <v/>
      </c>
      <c r="E94" s="6" t="str">
        <f t="shared" si="8"/>
        <v/>
      </c>
      <c r="F94" s="27" t="str">
        <f t="shared" si="9"/>
        <v/>
      </c>
      <c r="G94" t="str">
        <f t="shared" si="10"/>
        <v/>
      </c>
      <c r="H94" t="str">
        <f t="shared" si="11"/>
        <v/>
      </c>
      <c r="K94" s="5"/>
    </row>
    <row r="95" spans="4:11" x14ac:dyDescent="0.25">
      <c r="D95" s="7" t="str">
        <f t="shared" si="7"/>
        <v/>
      </c>
      <c r="E95" s="6" t="str">
        <f t="shared" si="8"/>
        <v/>
      </c>
      <c r="F95" s="27" t="str">
        <f t="shared" si="9"/>
        <v/>
      </c>
      <c r="G95" t="str">
        <f t="shared" si="10"/>
        <v/>
      </c>
      <c r="H95" t="str">
        <f t="shared" si="11"/>
        <v/>
      </c>
      <c r="K95" s="5"/>
    </row>
    <row r="96" spans="4:11" x14ac:dyDescent="0.25">
      <c r="D96" s="7" t="str">
        <f t="shared" si="7"/>
        <v/>
      </c>
      <c r="E96" s="6" t="str">
        <f t="shared" si="8"/>
        <v/>
      </c>
      <c r="F96" s="27" t="str">
        <f t="shared" si="9"/>
        <v/>
      </c>
      <c r="G96" t="str">
        <f t="shared" si="10"/>
        <v/>
      </c>
      <c r="H96" t="str">
        <f t="shared" si="11"/>
        <v/>
      </c>
      <c r="K96" s="5"/>
    </row>
    <row r="97" spans="4:11" x14ac:dyDescent="0.25">
      <c r="D97" s="7" t="str">
        <f t="shared" si="7"/>
        <v/>
      </c>
      <c r="E97" s="6" t="str">
        <f t="shared" si="8"/>
        <v/>
      </c>
      <c r="F97" s="27" t="str">
        <f t="shared" si="9"/>
        <v/>
      </c>
      <c r="G97" t="str">
        <f t="shared" si="10"/>
        <v/>
      </c>
      <c r="H97" t="str">
        <f t="shared" si="11"/>
        <v/>
      </c>
      <c r="K97" s="5"/>
    </row>
    <row r="98" spans="4:11" x14ac:dyDescent="0.25">
      <c r="D98" s="7" t="str">
        <f t="shared" si="7"/>
        <v/>
      </c>
      <c r="E98" s="6" t="str">
        <f t="shared" si="8"/>
        <v/>
      </c>
      <c r="F98" s="27" t="str">
        <f t="shared" si="9"/>
        <v/>
      </c>
      <c r="G98" t="str">
        <f t="shared" si="10"/>
        <v/>
      </c>
      <c r="H98" t="str">
        <f t="shared" si="11"/>
        <v/>
      </c>
      <c r="K98" s="5"/>
    </row>
    <row r="99" spans="4:11" x14ac:dyDescent="0.25">
      <c r="D99" s="7" t="str">
        <f t="shared" si="7"/>
        <v/>
      </c>
      <c r="E99" s="6" t="str">
        <f t="shared" si="8"/>
        <v/>
      </c>
      <c r="F99" s="27" t="str">
        <f t="shared" si="9"/>
        <v/>
      </c>
      <c r="G99" t="str">
        <f t="shared" si="10"/>
        <v/>
      </c>
      <c r="H99" t="str">
        <f t="shared" si="11"/>
        <v/>
      </c>
      <c r="K99" s="5"/>
    </row>
    <row r="100" spans="4:11" x14ac:dyDescent="0.25">
      <c r="D100" s="7" t="str">
        <f t="shared" si="7"/>
        <v/>
      </c>
      <c r="E100" s="6" t="str">
        <f t="shared" si="8"/>
        <v/>
      </c>
      <c r="F100" s="27" t="str">
        <f t="shared" si="9"/>
        <v/>
      </c>
      <c r="G100" t="str">
        <f t="shared" si="10"/>
        <v/>
      </c>
      <c r="H100" t="str">
        <f t="shared" si="11"/>
        <v/>
      </c>
      <c r="K100" s="5"/>
    </row>
    <row r="101" spans="4:11" x14ac:dyDescent="0.25">
      <c r="D101" s="7" t="str">
        <f t="shared" si="7"/>
        <v/>
      </c>
      <c r="E101" s="6" t="str">
        <f t="shared" si="8"/>
        <v/>
      </c>
      <c r="F101" s="27" t="str">
        <f t="shared" si="9"/>
        <v/>
      </c>
      <c r="G101" t="str">
        <f t="shared" si="10"/>
        <v/>
      </c>
      <c r="H101" t="str">
        <f t="shared" si="11"/>
        <v/>
      </c>
      <c r="K101" s="5"/>
    </row>
    <row r="102" spans="4:11" x14ac:dyDescent="0.25">
      <c r="D102" s="7" t="str">
        <f t="shared" si="7"/>
        <v/>
      </c>
      <c r="E102" s="6" t="str">
        <f t="shared" si="8"/>
        <v/>
      </c>
      <c r="F102" s="27" t="str">
        <f t="shared" si="9"/>
        <v/>
      </c>
      <c r="G102" t="str">
        <f t="shared" si="10"/>
        <v/>
      </c>
      <c r="H102" t="str">
        <f t="shared" si="11"/>
        <v/>
      </c>
      <c r="K102" s="5"/>
    </row>
    <row r="103" spans="4:11" x14ac:dyDescent="0.25">
      <c r="D103" s="7" t="str">
        <f t="shared" si="7"/>
        <v/>
      </c>
      <c r="E103" s="6" t="str">
        <f t="shared" si="8"/>
        <v/>
      </c>
      <c r="F103" s="27" t="str">
        <f t="shared" si="9"/>
        <v/>
      </c>
      <c r="G103" t="str">
        <f t="shared" si="10"/>
        <v/>
      </c>
      <c r="H103" t="str">
        <f t="shared" si="11"/>
        <v/>
      </c>
      <c r="K103" s="5"/>
    </row>
    <row r="104" spans="4:11" x14ac:dyDescent="0.25">
      <c r="D104" s="7" t="str">
        <f t="shared" si="7"/>
        <v/>
      </c>
      <c r="E104" s="6" t="str">
        <f t="shared" si="8"/>
        <v/>
      </c>
      <c r="F104" s="27" t="str">
        <f t="shared" si="9"/>
        <v/>
      </c>
      <c r="G104" t="str">
        <f t="shared" si="10"/>
        <v/>
      </c>
      <c r="H104" t="str">
        <f t="shared" si="11"/>
        <v/>
      </c>
      <c r="K104" s="5"/>
    </row>
    <row r="105" spans="4:11" x14ac:dyDescent="0.25">
      <c r="D105" s="7" t="str">
        <f t="shared" si="7"/>
        <v/>
      </c>
      <c r="E105" s="6" t="str">
        <f t="shared" si="8"/>
        <v/>
      </c>
      <c r="F105" s="27" t="str">
        <f t="shared" si="9"/>
        <v/>
      </c>
      <c r="G105" t="str">
        <f t="shared" si="10"/>
        <v/>
      </c>
      <c r="H105" t="str">
        <f t="shared" si="11"/>
        <v/>
      </c>
      <c r="K105" s="5"/>
    </row>
    <row r="106" spans="4:11" x14ac:dyDescent="0.25">
      <c r="D106" s="7" t="str">
        <f t="shared" si="7"/>
        <v/>
      </c>
      <c r="E106" s="6" t="str">
        <f t="shared" si="8"/>
        <v/>
      </c>
      <c r="F106" s="27" t="str">
        <f t="shared" si="9"/>
        <v/>
      </c>
      <c r="G106" t="str">
        <f t="shared" si="10"/>
        <v/>
      </c>
      <c r="H106" t="str">
        <f t="shared" si="11"/>
        <v/>
      </c>
      <c r="K106" s="5"/>
    </row>
    <row r="107" spans="4:11" x14ac:dyDescent="0.25">
      <c r="D107" s="7" t="str">
        <f t="shared" si="7"/>
        <v/>
      </c>
      <c r="E107" s="6" t="str">
        <f t="shared" si="8"/>
        <v/>
      </c>
      <c r="F107" s="27" t="str">
        <f t="shared" si="9"/>
        <v/>
      </c>
      <c r="G107" t="str">
        <f t="shared" si="10"/>
        <v/>
      </c>
      <c r="H107" t="str">
        <f t="shared" si="11"/>
        <v/>
      </c>
      <c r="K107" s="5"/>
    </row>
    <row r="108" spans="4:11" x14ac:dyDescent="0.25">
      <c r="D108" s="7" t="str">
        <f t="shared" si="7"/>
        <v/>
      </c>
      <c r="E108" s="6" t="str">
        <f t="shared" si="8"/>
        <v/>
      </c>
      <c r="F108" s="27" t="str">
        <f t="shared" si="9"/>
        <v/>
      </c>
      <c r="G108" t="str">
        <f t="shared" si="10"/>
        <v/>
      </c>
      <c r="H108" t="str">
        <f t="shared" si="11"/>
        <v/>
      </c>
      <c r="K108" s="5"/>
    </row>
    <row r="109" spans="4:11" x14ac:dyDescent="0.25">
      <c r="D109" s="7" t="str">
        <f t="shared" si="7"/>
        <v/>
      </c>
      <c r="E109" s="6" t="str">
        <f t="shared" si="8"/>
        <v/>
      </c>
      <c r="F109" s="27" t="str">
        <f t="shared" si="9"/>
        <v/>
      </c>
      <c r="G109" t="str">
        <f t="shared" si="10"/>
        <v/>
      </c>
      <c r="H109" t="str">
        <f t="shared" si="11"/>
        <v/>
      </c>
      <c r="K109" s="5"/>
    </row>
    <row r="110" spans="4:11" x14ac:dyDescent="0.25">
      <c r="D110" s="7" t="str">
        <f t="shared" si="7"/>
        <v/>
      </c>
      <c r="E110" s="6" t="str">
        <f t="shared" si="8"/>
        <v/>
      </c>
      <c r="F110" s="27" t="str">
        <f t="shared" si="9"/>
        <v/>
      </c>
      <c r="G110" t="str">
        <f t="shared" si="10"/>
        <v/>
      </c>
      <c r="H110" t="str">
        <f t="shared" si="11"/>
        <v/>
      </c>
      <c r="K110" s="5"/>
    </row>
    <row r="111" spans="4:11" x14ac:dyDescent="0.25">
      <c r="D111" s="7" t="str">
        <f t="shared" si="7"/>
        <v/>
      </c>
      <c r="E111" s="6" t="str">
        <f t="shared" si="8"/>
        <v/>
      </c>
      <c r="F111" s="27" t="str">
        <f t="shared" si="9"/>
        <v/>
      </c>
      <c r="G111" t="str">
        <f t="shared" si="10"/>
        <v/>
      </c>
      <c r="H111" t="str">
        <f t="shared" si="11"/>
        <v/>
      </c>
      <c r="K111" s="5"/>
    </row>
    <row r="112" spans="4:11" x14ac:dyDescent="0.25">
      <c r="D112" s="7" t="str">
        <f t="shared" si="7"/>
        <v/>
      </c>
      <c r="E112" s="6" t="str">
        <f t="shared" si="8"/>
        <v/>
      </c>
      <c r="F112" s="27" t="str">
        <f t="shared" si="9"/>
        <v/>
      </c>
      <c r="G112" t="str">
        <f t="shared" si="10"/>
        <v/>
      </c>
      <c r="H112" t="str">
        <f t="shared" si="11"/>
        <v/>
      </c>
      <c r="K112" s="5"/>
    </row>
    <row r="113" spans="4:11" x14ac:dyDescent="0.25">
      <c r="D113" s="7" t="str">
        <f t="shared" si="7"/>
        <v/>
      </c>
      <c r="E113" s="6" t="str">
        <f t="shared" si="8"/>
        <v/>
      </c>
      <c r="F113" s="27" t="str">
        <f t="shared" si="9"/>
        <v/>
      </c>
      <c r="G113" t="str">
        <f t="shared" si="10"/>
        <v/>
      </c>
      <c r="H113" t="str">
        <f t="shared" si="11"/>
        <v/>
      </c>
      <c r="K113" s="5"/>
    </row>
    <row r="114" spans="4:11" x14ac:dyDescent="0.25">
      <c r="D114" s="7" t="str">
        <f t="shared" si="7"/>
        <v/>
      </c>
      <c r="E114" s="6" t="str">
        <f t="shared" si="8"/>
        <v/>
      </c>
      <c r="F114" s="27" t="str">
        <f t="shared" si="9"/>
        <v/>
      </c>
      <c r="G114" t="str">
        <f t="shared" si="10"/>
        <v/>
      </c>
      <c r="H114" t="str">
        <f t="shared" si="11"/>
        <v/>
      </c>
      <c r="K114" s="5"/>
    </row>
    <row r="115" spans="4:11" x14ac:dyDescent="0.25">
      <c r="D115" s="7" t="str">
        <f t="shared" si="7"/>
        <v/>
      </c>
      <c r="E115" s="6" t="str">
        <f t="shared" si="8"/>
        <v/>
      </c>
      <c r="F115" s="27" t="str">
        <f t="shared" si="9"/>
        <v/>
      </c>
      <c r="G115" t="str">
        <f t="shared" si="10"/>
        <v/>
      </c>
      <c r="H115" t="str">
        <f t="shared" si="11"/>
        <v/>
      </c>
      <c r="K115" s="5"/>
    </row>
    <row r="116" spans="4:11" x14ac:dyDescent="0.25">
      <c r="D116" s="7" t="str">
        <f t="shared" si="7"/>
        <v/>
      </c>
      <c r="E116" s="6" t="str">
        <f t="shared" si="8"/>
        <v/>
      </c>
      <c r="F116" s="27" t="str">
        <f t="shared" si="9"/>
        <v/>
      </c>
      <c r="G116" t="str">
        <f t="shared" si="10"/>
        <v/>
      </c>
      <c r="H116" t="str">
        <f t="shared" si="11"/>
        <v/>
      </c>
      <c r="K116" s="5"/>
    </row>
    <row r="117" spans="4:11" x14ac:dyDescent="0.25">
      <c r="D117" s="7" t="str">
        <f t="shared" si="7"/>
        <v/>
      </c>
      <c r="E117" s="6" t="str">
        <f t="shared" si="8"/>
        <v/>
      </c>
      <c r="F117" s="27" t="str">
        <f t="shared" si="9"/>
        <v/>
      </c>
      <c r="G117" t="str">
        <f t="shared" si="10"/>
        <v/>
      </c>
      <c r="H117" t="str">
        <f t="shared" si="11"/>
        <v/>
      </c>
      <c r="K117" s="5"/>
    </row>
    <row r="118" spans="4:11" x14ac:dyDescent="0.25">
      <c r="D118" s="7" t="str">
        <f t="shared" si="7"/>
        <v/>
      </c>
      <c r="E118" s="6" t="str">
        <f t="shared" si="8"/>
        <v/>
      </c>
      <c r="F118" s="27" t="str">
        <f t="shared" si="9"/>
        <v/>
      </c>
      <c r="G118" t="str">
        <f t="shared" si="10"/>
        <v/>
      </c>
      <c r="H118" t="str">
        <f t="shared" si="11"/>
        <v/>
      </c>
      <c r="K118" s="5"/>
    </row>
    <row r="119" spans="4:11" x14ac:dyDescent="0.25">
      <c r="D119" s="7" t="str">
        <f t="shared" si="7"/>
        <v/>
      </c>
      <c r="E119" s="6" t="str">
        <f t="shared" si="8"/>
        <v/>
      </c>
      <c r="F119" s="27" t="str">
        <f t="shared" si="9"/>
        <v/>
      </c>
      <c r="G119" t="str">
        <f t="shared" si="10"/>
        <v/>
      </c>
      <c r="H119" t="str">
        <f t="shared" si="11"/>
        <v/>
      </c>
      <c r="K119" s="5"/>
    </row>
    <row r="120" spans="4:11" x14ac:dyDescent="0.25">
      <c r="D120" s="7" t="str">
        <f t="shared" si="7"/>
        <v/>
      </c>
      <c r="E120" s="6" t="str">
        <f t="shared" si="8"/>
        <v/>
      </c>
      <c r="F120" s="27" t="str">
        <f t="shared" si="9"/>
        <v/>
      </c>
      <c r="G120" t="str">
        <f t="shared" si="10"/>
        <v/>
      </c>
      <c r="H120" t="str">
        <f t="shared" si="11"/>
        <v/>
      </c>
      <c r="K120" s="5"/>
    </row>
    <row r="121" spans="4:11" x14ac:dyDescent="0.25">
      <c r="D121" s="7" t="str">
        <f t="shared" si="7"/>
        <v/>
      </c>
      <c r="E121" s="6" t="str">
        <f t="shared" si="8"/>
        <v/>
      </c>
      <c r="F121" s="27" t="str">
        <f t="shared" si="9"/>
        <v/>
      </c>
      <c r="G121" t="str">
        <f t="shared" si="10"/>
        <v/>
      </c>
      <c r="H121" t="str">
        <f t="shared" si="11"/>
        <v/>
      </c>
      <c r="K121" s="5"/>
    </row>
    <row r="122" spans="4:11" x14ac:dyDescent="0.25">
      <c r="D122" s="7" t="str">
        <f t="shared" si="7"/>
        <v/>
      </c>
      <c r="E122" s="6" t="str">
        <f t="shared" si="8"/>
        <v/>
      </c>
      <c r="F122" s="27" t="str">
        <f t="shared" si="9"/>
        <v/>
      </c>
      <c r="G122" t="str">
        <f t="shared" si="10"/>
        <v/>
      </c>
      <c r="H122" t="str">
        <f t="shared" si="11"/>
        <v/>
      </c>
      <c r="K122" s="5"/>
    </row>
    <row r="123" spans="4:11" x14ac:dyDescent="0.25">
      <c r="D123" s="7" t="str">
        <f t="shared" si="7"/>
        <v/>
      </c>
      <c r="E123" s="6" t="str">
        <f t="shared" si="8"/>
        <v/>
      </c>
      <c r="F123" s="27" t="str">
        <f t="shared" si="9"/>
        <v/>
      </c>
      <c r="G123" t="str">
        <f t="shared" si="10"/>
        <v/>
      </c>
      <c r="H123" t="str">
        <f t="shared" si="11"/>
        <v/>
      </c>
      <c r="K123" s="5"/>
    </row>
    <row r="124" spans="4:11" x14ac:dyDescent="0.25">
      <c r="D124" s="7" t="str">
        <f t="shared" si="7"/>
        <v/>
      </c>
      <c r="E124" s="6" t="str">
        <f t="shared" si="8"/>
        <v/>
      </c>
      <c r="F124" s="27" t="str">
        <f t="shared" si="9"/>
        <v/>
      </c>
      <c r="G124" t="str">
        <f t="shared" si="10"/>
        <v/>
      </c>
      <c r="H124" t="str">
        <f t="shared" si="11"/>
        <v/>
      </c>
      <c r="K124" s="5"/>
    </row>
    <row r="125" spans="4:11" x14ac:dyDescent="0.25">
      <c r="D125" s="7" t="str">
        <f t="shared" si="7"/>
        <v/>
      </c>
      <c r="E125" s="6" t="str">
        <f t="shared" si="8"/>
        <v/>
      </c>
      <c r="F125" s="27" t="str">
        <f t="shared" si="9"/>
        <v/>
      </c>
      <c r="G125" t="str">
        <f t="shared" si="10"/>
        <v/>
      </c>
      <c r="H125" t="str">
        <f t="shared" si="11"/>
        <v/>
      </c>
      <c r="K125" s="5"/>
    </row>
    <row r="126" spans="4:11" x14ac:dyDescent="0.25">
      <c r="D126" s="7" t="str">
        <f t="shared" si="7"/>
        <v/>
      </c>
      <c r="E126" s="6" t="str">
        <f t="shared" si="8"/>
        <v/>
      </c>
      <c r="F126" s="27" t="str">
        <f t="shared" si="9"/>
        <v/>
      </c>
      <c r="G126" t="str">
        <f t="shared" si="10"/>
        <v/>
      </c>
      <c r="H126" t="str">
        <f t="shared" si="11"/>
        <v/>
      </c>
      <c r="K126" s="5"/>
    </row>
    <row r="127" spans="4:11" x14ac:dyDescent="0.25">
      <c r="D127" s="7" t="str">
        <f t="shared" si="7"/>
        <v/>
      </c>
      <c r="E127" s="6" t="str">
        <f t="shared" si="8"/>
        <v/>
      </c>
      <c r="F127" s="27" t="str">
        <f t="shared" si="9"/>
        <v/>
      </c>
      <c r="G127" t="str">
        <f t="shared" si="10"/>
        <v/>
      </c>
      <c r="H127" t="str">
        <f t="shared" si="11"/>
        <v/>
      </c>
      <c r="K127" s="5"/>
    </row>
    <row r="128" spans="4:11" x14ac:dyDescent="0.25">
      <c r="D128" s="7" t="str">
        <f t="shared" si="7"/>
        <v/>
      </c>
      <c r="E128" s="6" t="str">
        <f t="shared" si="8"/>
        <v/>
      </c>
      <c r="F128" s="27" t="str">
        <f t="shared" si="9"/>
        <v/>
      </c>
      <c r="G128" t="str">
        <f t="shared" si="10"/>
        <v/>
      </c>
      <c r="H128" t="str">
        <f t="shared" si="11"/>
        <v/>
      </c>
      <c r="K128" s="5"/>
    </row>
    <row r="129" spans="4:11" x14ac:dyDescent="0.25">
      <c r="D129" s="7" t="str">
        <f t="shared" si="7"/>
        <v/>
      </c>
      <c r="E129" s="6" t="str">
        <f t="shared" si="8"/>
        <v/>
      </c>
      <c r="F129" s="27" t="str">
        <f t="shared" si="9"/>
        <v/>
      </c>
      <c r="G129" t="str">
        <f t="shared" si="10"/>
        <v/>
      </c>
      <c r="H129" t="str">
        <f t="shared" si="11"/>
        <v/>
      </c>
      <c r="K129" s="5"/>
    </row>
    <row r="130" spans="4:11" x14ac:dyDescent="0.25">
      <c r="D130" s="7" t="str">
        <f t="shared" si="7"/>
        <v/>
      </c>
      <c r="E130" s="6" t="str">
        <f t="shared" si="8"/>
        <v/>
      </c>
      <c r="F130" s="27" t="str">
        <f t="shared" si="9"/>
        <v/>
      </c>
      <c r="G130" t="str">
        <f t="shared" si="10"/>
        <v/>
      </c>
      <c r="H130" t="str">
        <f t="shared" si="11"/>
        <v/>
      </c>
      <c r="K130" s="5"/>
    </row>
    <row r="131" spans="4:11" x14ac:dyDescent="0.25">
      <c r="D131" s="7" t="str">
        <f t="shared" si="7"/>
        <v/>
      </c>
      <c r="E131" s="6" t="str">
        <f t="shared" si="8"/>
        <v/>
      </c>
      <c r="F131" s="27" t="str">
        <f t="shared" si="9"/>
        <v/>
      </c>
      <c r="G131" t="str">
        <f t="shared" si="10"/>
        <v/>
      </c>
      <c r="H131" t="str">
        <f t="shared" si="11"/>
        <v/>
      </c>
      <c r="K131" s="5"/>
    </row>
    <row r="132" spans="4:11" x14ac:dyDescent="0.25">
      <c r="D132" s="7" t="str">
        <f t="shared" ref="D132:D195" si="12">IF(K132&lt;&gt;"",1+INT((K132-(DATE(YEAR(K132),1,2)-WEEKDAY(DATE(YEAR(K132),1,1))))/7),"")</f>
        <v/>
      </c>
      <c r="E132" s="6" t="str">
        <f t="shared" ref="E132:E195" si="13">IF(K132&lt;&gt;"",TEXT(K132,"ddd"),"")</f>
        <v/>
      </c>
      <c r="F132" s="27" t="str">
        <f t="shared" ref="F132:F195" si="14">IF(K132&lt;&gt;"",MONTH(K132),"")</f>
        <v/>
      </c>
      <c r="G132" t="str">
        <f t="shared" ref="G132:G195" si="15">IF(K132&lt;&gt;"",DAY(K132),"")</f>
        <v/>
      </c>
      <c r="H132" t="str">
        <f t="shared" ref="H132:H195" si="16">IF(K132&lt;&gt;"",YEAR(K132),"")</f>
        <v/>
      </c>
      <c r="K132" s="5"/>
    </row>
    <row r="133" spans="4:11" x14ac:dyDescent="0.25">
      <c r="D133" s="7" t="str">
        <f t="shared" si="12"/>
        <v/>
      </c>
      <c r="E133" s="6" t="str">
        <f t="shared" si="13"/>
        <v/>
      </c>
      <c r="F133" s="27" t="str">
        <f t="shared" si="14"/>
        <v/>
      </c>
      <c r="G133" t="str">
        <f t="shared" si="15"/>
        <v/>
      </c>
      <c r="H133" t="str">
        <f t="shared" si="16"/>
        <v/>
      </c>
      <c r="K133" s="5"/>
    </row>
    <row r="134" spans="4:11" x14ac:dyDescent="0.25">
      <c r="D134" s="7" t="str">
        <f t="shared" si="12"/>
        <v/>
      </c>
      <c r="E134" s="6" t="str">
        <f t="shared" si="13"/>
        <v/>
      </c>
      <c r="F134" s="27" t="str">
        <f t="shared" si="14"/>
        <v/>
      </c>
      <c r="G134" t="str">
        <f t="shared" si="15"/>
        <v/>
      </c>
      <c r="H134" t="str">
        <f t="shared" si="16"/>
        <v/>
      </c>
      <c r="K134" s="5"/>
    </row>
    <row r="135" spans="4:11" x14ac:dyDescent="0.25">
      <c r="D135" s="7" t="str">
        <f t="shared" si="12"/>
        <v/>
      </c>
      <c r="E135" s="6" t="str">
        <f t="shared" si="13"/>
        <v/>
      </c>
      <c r="F135" s="27" t="str">
        <f t="shared" si="14"/>
        <v/>
      </c>
      <c r="G135" t="str">
        <f t="shared" si="15"/>
        <v/>
      </c>
      <c r="H135" t="str">
        <f t="shared" si="16"/>
        <v/>
      </c>
      <c r="K135" s="5"/>
    </row>
    <row r="136" spans="4:11" x14ac:dyDescent="0.25">
      <c r="D136" s="7" t="str">
        <f t="shared" si="12"/>
        <v/>
      </c>
      <c r="E136" s="6" t="str">
        <f t="shared" si="13"/>
        <v/>
      </c>
      <c r="F136" s="27" t="str">
        <f t="shared" si="14"/>
        <v/>
      </c>
      <c r="G136" t="str">
        <f t="shared" si="15"/>
        <v/>
      </c>
      <c r="H136" t="str">
        <f t="shared" si="16"/>
        <v/>
      </c>
      <c r="K136" s="5"/>
    </row>
    <row r="137" spans="4:11" x14ac:dyDescent="0.25">
      <c r="D137" s="7" t="str">
        <f t="shared" si="12"/>
        <v/>
      </c>
      <c r="E137" s="6" t="str">
        <f t="shared" si="13"/>
        <v/>
      </c>
      <c r="F137" s="27" t="str">
        <f t="shared" si="14"/>
        <v/>
      </c>
      <c r="G137" t="str">
        <f t="shared" si="15"/>
        <v/>
      </c>
      <c r="H137" t="str">
        <f t="shared" si="16"/>
        <v/>
      </c>
      <c r="K137" s="5"/>
    </row>
    <row r="138" spans="4:11" x14ac:dyDescent="0.25">
      <c r="D138" s="7" t="str">
        <f t="shared" si="12"/>
        <v/>
      </c>
      <c r="E138" s="6" t="str">
        <f t="shared" si="13"/>
        <v/>
      </c>
      <c r="F138" s="27" t="str">
        <f t="shared" si="14"/>
        <v/>
      </c>
      <c r="G138" t="str">
        <f t="shared" si="15"/>
        <v/>
      </c>
      <c r="H138" t="str">
        <f t="shared" si="16"/>
        <v/>
      </c>
      <c r="K138" s="5"/>
    </row>
    <row r="139" spans="4:11" x14ac:dyDescent="0.25">
      <c r="D139" s="7" t="str">
        <f t="shared" si="12"/>
        <v/>
      </c>
      <c r="E139" s="6" t="str">
        <f t="shared" si="13"/>
        <v/>
      </c>
      <c r="F139" s="27" t="str">
        <f t="shared" si="14"/>
        <v/>
      </c>
      <c r="G139" t="str">
        <f t="shared" si="15"/>
        <v/>
      </c>
      <c r="H139" t="str">
        <f t="shared" si="16"/>
        <v/>
      </c>
      <c r="K139" s="5"/>
    </row>
    <row r="140" spans="4:11" x14ac:dyDescent="0.25">
      <c r="D140" s="7" t="str">
        <f t="shared" si="12"/>
        <v/>
      </c>
      <c r="E140" s="6" t="str">
        <f t="shared" si="13"/>
        <v/>
      </c>
      <c r="F140" s="27" t="str">
        <f t="shared" si="14"/>
        <v/>
      </c>
      <c r="G140" t="str">
        <f t="shared" si="15"/>
        <v/>
      </c>
      <c r="H140" t="str">
        <f t="shared" si="16"/>
        <v/>
      </c>
      <c r="K140" s="5"/>
    </row>
    <row r="141" spans="4:11" x14ac:dyDescent="0.25">
      <c r="D141" s="7" t="str">
        <f t="shared" si="12"/>
        <v/>
      </c>
      <c r="E141" s="6" t="str">
        <f t="shared" si="13"/>
        <v/>
      </c>
      <c r="F141" s="27" t="str">
        <f t="shared" si="14"/>
        <v/>
      </c>
      <c r="G141" t="str">
        <f t="shared" si="15"/>
        <v/>
      </c>
      <c r="H141" t="str">
        <f t="shared" si="16"/>
        <v/>
      </c>
      <c r="K141" s="5"/>
    </row>
    <row r="142" spans="4:11" x14ac:dyDescent="0.25">
      <c r="D142" s="7" t="str">
        <f t="shared" si="12"/>
        <v/>
      </c>
      <c r="E142" s="6" t="str">
        <f t="shared" si="13"/>
        <v/>
      </c>
      <c r="F142" s="27" t="str">
        <f t="shared" si="14"/>
        <v/>
      </c>
      <c r="G142" t="str">
        <f t="shared" si="15"/>
        <v/>
      </c>
      <c r="H142" t="str">
        <f t="shared" si="16"/>
        <v/>
      </c>
      <c r="K142" s="5"/>
    </row>
    <row r="143" spans="4:11" x14ac:dyDescent="0.25">
      <c r="D143" s="7" t="str">
        <f t="shared" si="12"/>
        <v/>
      </c>
      <c r="E143" s="6" t="str">
        <f t="shared" si="13"/>
        <v/>
      </c>
      <c r="F143" s="27" t="str">
        <f t="shared" si="14"/>
        <v/>
      </c>
      <c r="G143" t="str">
        <f t="shared" si="15"/>
        <v/>
      </c>
      <c r="H143" t="str">
        <f t="shared" si="16"/>
        <v/>
      </c>
      <c r="K143" s="5"/>
    </row>
    <row r="144" spans="4:11" x14ac:dyDescent="0.25">
      <c r="D144" s="7" t="str">
        <f t="shared" si="12"/>
        <v/>
      </c>
      <c r="E144" s="6" t="str">
        <f t="shared" si="13"/>
        <v/>
      </c>
      <c r="F144" s="27" t="str">
        <f t="shared" si="14"/>
        <v/>
      </c>
      <c r="G144" t="str">
        <f t="shared" si="15"/>
        <v/>
      </c>
      <c r="H144" t="str">
        <f t="shared" si="16"/>
        <v/>
      </c>
      <c r="K144" s="5"/>
    </row>
    <row r="145" spans="4:11" x14ac:dyDescent="0.25">
      <c r="D145" s="7" t="str">
        <f t="shared" si="12"/>
        <v/>
      </c>
      <c r="E145" s="6" t="str">
        <f t="shared" si="13"/>
        <v/>
      </c>
      <c r="F145" s="27" t="str">
        <f t="shared" si="14"/>
        <v/>
      </c>
      <c r="G145" t="str">
        <f t="shared" si="15"/>
        <v/>
      </c>
      <c r="H145" t="str">
        <f t="shared" si="16"/>
        <v/>
      </c>
      <c r="K145" s="5"/>
    </row>
    <row r="146" spans="4:11" x14ac:dyDescent="0.25">
      <c r="D146" s="7" t="str">
        <f t="shared" si="12"/>
        <v/>
      </c>
      <c r="E146" s="6" t="str">
        <f t="shared" si="13"/>
        <v/>
      </c>
      <c r="F146" s="27" t="str">
        <f t="shared" si="14"/>
        <v/>
      </c>
      <c r="G146" t="str">
        <f t="shared" si="15"/>
        <v/>
      </c>
      <c r="H146" t="str">
        <f t="shared" si="16"/>
        <v/>
      </c>
      <c r="K146" s="5"/>
    </row>
    <row r="147" spans="4:11" x14ac:dyDescent="0.25">
      <c r="D147" s="7" t="str">
        <f t="shared" si="12"/>
        <v/>
      </c>
      <c r="E147" s="6" t="str">
        <f t="shared" si="13"/>
        <v/>
      </c>
      <c r="F147" s="27" t="str">
        <f t="shared" si="14"/>
        <v/>
      </c>
      <c r="G147" t="str">
        <f t="shared" si="15"/>
        <v/>
      </c>
      <c r="H147" t="str">
        <f t="shared" si="16"/>
        <v/>
      </c>
      <c r="K147" s="5"/>
    </row>
    <row r="148" spans="4:11" x14ac:dyDescent="0.25">
      <c r="D148" s="7" t="str">
        <f t="shared" si="12"/>
        <v/>
      </c>
      <c r="E148" s="6" t="str">
        <f t="shared" si="13"/>
        <v/>
      </c>
      <c r="F148" s="27" t="str">
        <f t="shared" si="14"/>
        <v/>
      </c>
      <c r="G148" t="str">
        <f t="shared" si="15"/>
        <v/>
      </c>
      <c r="H148" t="str">
        <f t="shared" si="16"/>
        <v/>
      </c>
      <c r="K148" s="5"/>
    </row>
    <row r="149" spans="4:11" x14ac:dyDescent="0.25">
      <c r="D149" s="7" t="str">
        <f t="shared" si="12"/>
        <v/>
      </c>
      <c r="E149" s="6" t="str">
        <f t="shared" si="13"/>
        <v/>
      </c>
      <c r="F149" s="27" t="str">
        <f t="shared" si="14"/>
        <v/>
      </c>
      <c r="G149" t="str">
        <f t="shared" si="15"/>
        <v/>
      </c>
      <c r="H149" t="str">
        <f t="shared" si="16"/>
        <v/>
      </c>
      <c r="K149" s="5"/>
    </row>
    <row r="150" spans="4:11" x14ac:dyDescent="0.25">
      <c r="D150" s="7" t="str">
        <f t="shared" si="12"/>
        <v/>
      </c>
      <c r="E150" s="6" t="str">
        <f t="shared" si="13"/>
        <v/>
      </c>
      <c r="F150" s="27" t="str">
        <f t="shared" si="14"/>
        <v/>
      </c>
      <c r="G150" t="str">
        <f t="shared" si="15"/>
        <v/>
      </c>
      <c r="H150" t="str">
        <f t="shared" si="16"/>
        <v/>
      </c>
      <c r="K150" s="5"/>
    </row>
    <row r="151" spans="4:11" x14ac:dyDescent="0.25">
      <c r="D151" s="7" t="str">
        <f t="shared" si="12"/>
        <v/>
      </c>
      <c r="E151" s="6" t="str">
        <f t="shared" si="13"/>
        <v/>
      </c>
      <c r="F151" s="27" t="str">
        <f t="shared" si="14"/>
        <v/>
      </c>
      <c r="G151" t="str">
        <f t="shared" si="15"/>
        <v/>
      </c>
      <c r="H151" t="str">
        <f t="shared" si="16"/>
        <v/>
      </c>
      <c r="K151" s="5"/>
    </row>
    <row r="152" spans="4:11" x14ac:dyDescent="0.25">
      <c r="D152" s="7" t="str">
        <f t="shared" si="12"/>
        <v/>
      </c>
      <c r="E152" s="6" t="str">
        <f t="shared" si="13"/>
        <v/>
      </c>
      <c r="F152" s="27" t="str">
        <f t="shared" si="14"/>
        <v/>
      </c>
      <c r="G152" t="str">
        <f t="shared" si="15"/>
        <v/>
      </c>
      <c r="H152" t="str">
        <f t="shared" si="16"/>
        <v/>
      </c>
      <c r="K152" s="5"/>
    </row>
    <row r="153" spans="4:11" x14ac:dyDescent="0.25">
      <c r="D153" s="7" t="str">
        <f t="shared" si="12"/>
        <v/>
      </c>
      <c r="E153" s="6" t="str">
        <f t="shared" si="13"/>
        <v/>
      </c>
      <c r="F153" s="27" t="str">
        <f t="shared" si="14"/>
        <v/>
      </c>
      <c r="G153" t="str">
        <f t="shared" si="15"/>
        <v/>
      </c>
      <c r="H153" t="str">
        <f t="shared" si="16"/>
        <v/>
      </c>
      <c r="K153" s="5"/>
    </row>
    <row r="154" spans="4:11" x14ac:dyDescent="0.25">
      <c r="D154" s="7" t="str">
        <f t="shared" si="12"/>
        <v/>
      </c>
      <c r="E154" s="6" t="str">
        <f t="shared" si="13"/>
        <v/>
      </c>
      <c r="F154" s="27" t="str">
        <f t="shared" si="14"/>
        <v/>
      </c>
      <c r="G154" t="str">
        <f t="shared" si="15"/>
        <v/>
      </c>
      <c r="H154" t="str">
        <f t="shared" si="16"/>
        <v/>
      </c>
      <c r="K154" s="5"/>
    </row>
    <row r="155" spans="4:11" x14ac:dyDescent="0.25">
      <c r="D155" s="7" t="str">
        <f t="shared" si="12"/>
        <v/>
      </c>
      <c r="E155" s="6" t="str">
        <f t="shared" si="13"/>
        <v/>
      </c>
      <c r="F155" s="27" t="str">
        <f t="shared" si="14"/>
        <v/>
      </c>
      <c r="G155" t="str">
        <f t="shared" si="15"/>
        <v/>
      </c>
      <c r="H155" t="str">
        <f t="shared" si="16"/>
        <v/>
      </c>
      <c r="K155" s="5"/>
    </row>
    <row r="156" spans="4:11" x14ac:dyDescent="0.25">
      <c r="D156" s="7" t="str">
        <f t="shared" si="12"/>
        <v/>
      </c>
      <c r="E156" s="6" t="str">
        <f t="shared" si="13"/>
        <v/>
      </c>
      <c r="F156" s="27" t="str">
        <f t="shared" si="14"/>
        <v/>
      </c>
      <c r="G156" t="str">
        <f t="shared" si="15"/>
        <v/>
      </c>
      <c r="H156" t="str">
        <f t="shared" si="16"/>
        <v/>
      </c>
      <c r="K156" s="5"/>
    </row>
    <row r="157" spans="4:11" x14ac:dyDescent="0.25">
      <c r="D157" s="7" t="str">
        <f t="shared" si="12"/>
        <v/>
      </c>
      <c r="E157" s="6" t="str">
        <f t="shared" si="13"/>
        <v/>
      </c>
      <c r="F157" s="27" t="str">
        <f t="shared" si="14"/>
        <v/>
      </c>
      <c r="G157" t="str">
        <f t="shared" si="15"/>
        <v/>
      </c>
      <c r="H157" t="str">
        <f t="shared" si="16"/>
        <v/>
      </c>
      <c r="K157" s="5"/>
    </row>
    <row r="158" spans="4:11" x14ac:dyDescent="0.25">
      <c r="D158" s="7" t="str">
        <f t="shared" si="12"/>
        <v/>
      </c>
      <c r="E158" s="6" t="str">
        <f t="shared" si="13"/>
        <v/>
      </c>
      <c r="F158" s="27" t="str">
        <f t="shared" si="14"/>
        <v/>
      </c>
      <c r="G158" t="str">
        <f t="shared" si="15"/>
        <v/>
      </c>
      <c r="H158" t="str">
        <f t="shared" si="16"/>
        <v/>
      </c>
      <c r="K158" s="5"/>
    </row>
    <row r="159" spans="4:11" x14ac:dyDescent="0.25">
      <c r="D159" s="7" t="str">
        <f t="shared" si="12"/>
        <v/>
      </c>
      <c r="E159" s="6" t="str">
        <f t="shared" si="13"/>
        <v/>
      </c>
      <c r="F159" s="27" t="str">
        <f t="shared" si="14"/>
        <v/>
      </c>
      <c r="G159" t="str">
        <f t="shared" si="15"/>
        <v/>
      </c>
      <c r="H159" t="str">
        <f t="shared" si="16"/>
        <v/>
      </c>
      <c r="K159" s="5"/>
    </row>
    <row r="160" spans="4:11" x14ac:dyDescent="0.25">
      <c r="D160" s="7" t="str">
        <f t="shared" si="12"/>
        <v/>
      </c>
      <c r="E160" s="6" t="str">
        <f t="shared" si="13"/>
        <v/>
      </c>
      <c r="F160" s="27" t="str">
        <f t="shared" si="14"/>
        <v/>
      </c>
      <c r="G160" t="str">
        <f t="shared" si="15"/>
        <v/>
      </c>
      <c r="H160" t="str">
        <f t="shared" si="16"/>
        <v/>
      </c>
      <c r="K160" s="5"/>
    </row>
    <row r="161" spans="4:11" x14ac:dyDescent="0.25">
      <c r="D161" s="7" t="str">
        <f t="shared" si="12"/>
        <v/>
      </c>
      <c r="E161" s="6" t="str">
        <f t="shared" si="13"/>
        <v/>
      </c>
      <c r="F161" s="27" t="str">
        <f t="shared" si="14"/>
        <v/>
      </c>
      <c r="G161" t="str">
        <f t="shared" si="15"/>
        <v/>
      </c>
      <c r="H161" t="str">
        <f t="shared" si="16"/>
        <v/>
      </c>
      <c r="K161" s="5"/>
    </row>
    <row r="162" spans="4:11" x14ac:dyDescent="0.25">
      <c r="D162" s="7" t="str">
        <f t="shared" si="12"/>
        <v/>
      </c>
      <c r="E162" s="6" t="str">
        <f t="shared" si="13"/>
        <v/>
      </c>
      <c r="F162" s="27" t="str">
        <f t="shared" si="14"/>
        <v/>
      </c>
      <c r="G162" t="str">
        <f t="shared" si="15"/>
        <v/>
      </c>
      <c r="H162" t="str">
        <f t="shared" si="16"/>
        <v/>
      </c>
      <c r="K162" s="5"/>
    </row>
    <row r="163" spans="4:11" x14ac:dyDescent="0.25">
      <c r="D163" s="7" t="str">
        <f t="shared" si="12"/>
        <v/>
      </c>
      <c r="E163" s="6" t="str">
        <f t="shared" si="13"/>
        <v/>
      </c>
      <c r="F163" s="27" t="str">
        <f t="shared" si="14"/>
        <v/>
      </c>
      <c r="G163" t="str">
        <f t="shared" si="15"/>
        <v/>
      </c>
      <c r="H163" t="str">
        <f t="shared" si="16"/>
        <v/>
      </c>
      <c r="K163" s="5"/>
    </row>
    <row r="164" spans="4:11" x14ac:dyDescent="0.25">
      <c r="D164" s="7" t="str">
        <f t="shared" si="12"/>
        <v/>
      </c>
      <c r="E164" s="6" t="str">
        <f t="shared" si="13"/>
        <v/>
      </c>
      <c r="F164" s="27" t="str">
        <f t="shared" si="14"/>
        <v/>
      </c>
      <c r="G164" t="str">
        <f t="shared" si="15"/>
        <v/>
      </c>
      <c r="H164" t="str">
        <f t="shared" si="16"/>
        <v/>
      </c>
      <c r="K164" s="5"/>
    </row>
    <row r="165" spans="4:11" x14ac:dyDescent="0.25">
      <c r="D165" s="7" t="str">
        <f t="shared" si="12"/>
        <v/>
      </c>
      <c r="E165" s="6" t="str">
        <f t="shared" si="13"/>
        <v/>
      </c>
      <c r="F165" s="27" t="str">
        <f t="shared" si="14"/>
        <v/>
      </c>
      <c r="G165" t="str">
        <f t="shared" si="15"/>
        <v/>
      </c>
      <c r="H165" t="str">
        <f t="shared" si="16"/>
        <v/>
      </c>
      <c r="K165" s="5"/>
    </row>
    <row r="166" spans="4:11" x14ac:dyDescent="0.25">
      <c r="D166" s="7" t="str">
        <f t="shared" si="12"/>
        <v/>
      </c>
      <c r="E166" s="6" t="str">
        <f t="shared" si="13"/>
        <v/>
      </c>
      <c r="F166" s="27" t="str">
        <f t="shared" si="14"/>
        <v/>
      </c>
      <c r="G166" t="str">
        <f t="shared" si="15"/>
        <v/>
      </c>
      <c r="H166" t="str">
        <f t="shared" si="16"/>
        <v/>
      </c>
      <c r="K166" s="5"/>
    </row>
    <row r="167" spans="4:11" x14ac:dyDescent="0.25">
      <c r="D167" s="7" t="str">
        <f t="shared" si="12"/>
        <v/>
      </c>
      <c r="E167" s="6" t="str">
        <f t="shared" si="13"/>
        <v/>
      </c>
      <c r="F167" s="27" t="str">
        <f t="shared" si="14"/>
        <v/>
      </c>
      <c r="G167" t="str">
        <f t="shared" si="15"/>
        <v/>
      </c>
      <c r="H167" t="str">
        <f t="shared" si="16"/>
        <v/>
      </c>
      <c r="K167" s="5"/>
    </row>
    <row r="168" spans="4:11" x14ac:dyDescent="0.25">
      <c r="D168" s="7" t="str">
        <f t="shared" si="12"/>
        <v/>
      </c>
      <c r="E168" s="6" t="str">
        <f t="shared" si="13"/>
        <v/>
      </c>
      <c r="F168" s="27" t="str">
        <f t="shared" si="14"/>
        <v/>
      </c>
      <c r="G168" t="str">
        <f t="shared" si="15"/>
        <v/>
      </c>
      <c r="H168" t="str">
        <f t="shared" si="16"/>
        <v/>
      </c>
      <c r="K168" s="5"/>
    </row>
    <row r="169" spans="4:11" x14ac:dyDescent="0.25">
      <c r="D169" s="7" t="str">
        <f t="shared" si="12"/>
        <v/>
      </c>
      <c r="E169" s="6" t="str">
        <f t="shared" si="13"/>
        <v/>
      </c>
      <c r="F169" s="27" t="str">
        <f t="shared" si="14"/>
        <v/>
      </c>
      <c r="G169" t="str">
        <f t="shared" si="15"/>
        <v/>
      </c>
      <c r="H169" t="str">
        <f t="shared" si="16"/>
        <v/>
      </c>
      <c r="K169" s="5"/>
    </row>
    <row r="170" spans="4:11" x14ac:dyDescent="0.25">
      <c r="D170" s="7" t="str">
        <f t="shared" si="12"/>
        <v/>
      </c>
      <c r="E170" s="6" t="str">
        <f t="shared" si="13"/>
        <v/>
      </c>
      <c r="F170" s="27" t="str">
        <f t="shared" si="14"/>
        <v/>
      </c>
      <c r="G170" t="str">
        <f t="shared" si="15"/>
        <v/>
      </c>
      <c r="H170" t="str">
        <f t="shared" si="16"/>
        <v/>
      </c>
      <c r="K170" s="5"/>
    </row>
    <row r="171" spans="4:11" x14ac:dyDescent="0.25">
      <c r="D171" s="7" t="str">
        <f t="shared" si="12"/>
        <v/>
      </c>
      <c r="E171" s="6" t="str">
        <f t="shared" si="13"/>
        <v/>
      </c>
      <c r="F171" s="27" t="str">
        <f t="shared" si="14"/>
        <v/>
      </c>
      <c r="G171" t="str">
        <f t="shared" si="15"/>
        <v/>
      </c>
      <c r="H171" t="str">
        <f t="shared" si="16"/>
        <v/>
      </c>
      <c r="K171" s="5"/>
    </row>
    <row r="172" spans="4:11" x14ac:dyDescent="0.25">
      <c r="D172" s="7" t="str">
        <f t="shared" si="12"/>
        <v/>
      </c>
      <c r="E172" s="6" t="str">
        <f t="shared" si="13"/>
        <v/>
      </c>
      <c r="F172" s="27" t="str">
        <f t="shared" si="14"/>
        <v/>
      </c>
      <c r="G172" t="str">
        <f t="shared" si="15"/>
        <v/>
      </c>
      <c r="H172" t="str">
        <f t="shared" si="16"/>
        <v/>
      </c>
      <c r="K172" s="5"/>
    </row>
    <row r="173" spans="4:11" x14ac:dyDescent="0.25">
      <c r="D173" s="7" t="str">
        <f t="shared" si="12"/>
        <v/>
      </c>
      <c r="E173" s="6" t="str">
        <f t="shared" si="13"/>
        <v/>
      </c>
      <c r="F173" s="27" t="str">
        <f t="shared" si="14"/>
        <v/>
      </c>
      <c r="G173" t="str">
        <f t="shared" si="15"/>
        <v/>
      </c>
      <c r="H173" t="str">
        <f t="shared" si="16"/>
        <v/>
      </c>
      <c r="K173" s="5"/>
    </row>
    <row r="174" spans="4:11" x14ac:dyDescent="0.25">
      <c r="D174" s="7" t="str">
        <f t="shared" si="12"/>
        <v/>
      </c>
      <c r="E174" s="6" t="str">
        <f t="shared" si="13"/>
        <v/>
      </c>
      <c r="F174" s="27" t="str">
        <f t="shared" si="14"/>
        <v/>
      </c>
      <c r="G174" t="str">
        <f t="shared" si="15"/>
        <v/>
      </c>
      <c r="H174" t="str">
        <f t="shared" si="16"/>
        <v/>
      </c>
      <c r="K174" s="5"/>
    </row>
    <row r="175" spans="4:11" x14ac:dyDescent="0.25">
      <c r="D175" s="7" t="str">
        <f t="shared" si="12"/>
        <v/>
      </c>
      <c r="E175" s="6" t="str">
        <f t="shared" si="13"/>
        <v/>
      </c>
      <c r="F175" s="27" t="str">
        <f t="shared" si="14"/>
        <v/>
      </c>
      <c r="G175" t="str">
        <f t="shared" si="15"/>
        <v/>
      </c>
      <c r="H175" t="str">
        <f t="shared" si="16"/>
        <v/>
      </c>
      <c r="K175" s="5"/>
    </row>
    <row r="176" spans="4:11" x14ac:dyDescent="0.25">
      <c r="D176" s="7" t="str">
        <f t="shared" si="12"/>
        <v/>
      </c>
      <c r="E176" s="6" t="str">
        <f t="shared" si="13"/>
        <v/>
      </c>
      <c r="F176" s="27" t="str">
        <f t="shared" si="14"/>
        <v/>
      </c>
      <c r="G176" t="str">
        <f t="shared" si="15"/>
        <v/>
      </c>
      <c r="H176" t="str">
        <f t="shared" si="16"/>
        <v/>
      </c>
      <c r="K176" s="5"/>
    </row>
    <row r="177" spans="4:11" x14ac:dyDescent="0.25">
      <c r="D177" s="7" t="str">
        <f t="shared" si="12"/>
        <v/>
      </c>
      <c r="E177" s="6" t="str">
        <f t="shared" si="13"/>
        <v/>
      </c>
      <c r="F177" s="27" t="str">
        <f t="shared" si="14"/>
        <v/>
      </c>
      <c r="G177" t="str">
        <f t="shared" si="15"/>
        <v/>
      </c>
      <c r="H177" t="str">
        <f t="shared" si="16"/>
        <v/>
      </c>
      <c r="K177" s="5"/>
    </row>
    <row r="178" spans="4:11" x14ac:dyDescent="0.25">
      <c r="D178" s="7" t="str">
        <f t="shared" si="12"/>
        <v/>
      </c>
      <c r="E178" s="6" t="str">
        <f t="shared" si="13"/>
        <v/>
      </c>
      <c r="F178" s="27" t="str">
        <f t="shared" si="14"/>
        <v/>
      </c>
      <c r="G178" t="str">
        <f t="shared" si="15"/>
        <v/>
      </c>
      <c r="H178" t="str">
        <f t="shared" si="16"/>
        <v/>
      </c>
      <c r="K178" s="5"/>
    </row>
    <row r="179" spans="4:11" x14ac:dyDescent="0.25">
      <c r="D179" s="7" t="str">
        <f t="shared" si="12"/>
        <v/>
      </c>
      <c r="E179" s="6" t="str">
        <f t="shared" si="13"/>
        <v/>
      </c>
      <c r="F179" s="27" t="str">
        <f t="shared" si="14"/>
        <v/>
      </c>
      <c r="G179" t="str">
        <f t="shared" si="15"/>
        <v/>
      </c>
      <c r="H179" t="str">
        <f t="shared" si="16"/>
        <v/>
      </c>
      <c r="K179" s="5"/>
    </row>
    <row r="180" spans="4:11" x14ac:dyDescent="0.25">
      <c r="D180" s="7" t="str">
        <f t="shared" si="12"/>
        <v/>
      </c>
      <c r="E180" s="6" t="str">
        <f t="shared" si="13"/>
        <v/>
      </c>
      <c r="F180" s="27" t="str">
        <f t="shared" si="14"/>
        <v/>
      </c>
      <c r="G180" t="str">
        <f t="shared" si="15"/>
        <v/>
      </c>
      <c r="H180" t="str">
        <f t="shared" si="16"/>
        <v/>
      </c>
      <c r="K180" s="5"/>
    </row>
    <row r="181" spans="4:11" x14ac:dyDescent="0.25">
      <c r="D181" s="7" t="str">
        <f t="shared" si="12"/>
        <v/>
      </c>
      <c r="E181" s="6" t="str">
        <f t="shared" si="13"/>
        <v/>
      </c>
      <c r="F181" s="27" t="str">
        <f t="shared" si="14"/>
        <v/>
      </c>
      <c r="G181" t="str">
        <f t="shared" si="15"/>
        <v/>
      </c>
      <c r="H181" t="str">
        <f t="shared" si="16"/>
        <v/>
      </c>
      <c r="K181" s="5"/>
    </row>
    <row r="182" spans="4:11" x14ac:dyDescent="0.25">
      <c r="D182" s="7" t="str">
        <f t="shared" si="12"/>
        <v/>
      </c>
      <c r="E182" s="6" t="str">
        <f t="shared" si="13"/>
        <v/>
      </c>
      <c r="F182" s="27" t="str">
        <f t="shared" si="14"/>
        <v/>
      </c>
      <c r="G182" t="str">
        <f t="shared" si="15"/>
        <v/>
      </c>
      <c r="H182" t="str">
        <f t="shared" si="16"/>
        <v/>
      </c>
      <c r="K182" s="5"/>
    </row>
    <row r="183" spans="4:11" x14ac:dyDescent="0.25">
      <c r="D183" s="7" t="str">
        <f t="shared" si="12"/>
        <v/>
      </c>
      <c r="E183" s="6" t="str">
        <f t="shared" si="13"/>
        <v/>
      </c>
      <c r="F183" s="27" t="str">
        <f t="shared" si="14"/>
        <v/>
      </c>
      <c r="G183" t="str">
        <f t="shared" si="15"/>
        <v/>
      </c>
      <c r="H183" t="str">
        <f t="shared" si="16"/>
        <v/>
      </c>
      <c r="K183" s="5"/>
    </row>
    <row r="184" spans="4:11" x14ac:dyDescent="0.25">
      <c r="D184" s="7" t="str">
        <f t="shared" si="12"/>
        <v/>
      </c>
      <c r="E184" s="6" t="str">
        <f t="shared" si="13"/>
        <v/>
      </c>
      <c r="F184" s="27" t="str">
        <f t="shared" si="14"/>
        <v/>
      </c>
      <c r="G184" t="str">
        <f t="shared" si="15"/>
        <v/>
      </c>
      <c r="H184" t="str">
        <f t="shared" si="16"/>
        <v/>
      </c>
      <c r="K184" s="5"/>
    </row>
    <row r="185" spans="4:11" x14ac:dyDescent="0.25">
      <c r="D185" s="7" t="str">
        <f t="shared" si="12"/>
        <v/>
      </c>
      <c r="E185" s="6" t="str">
        <f t="shared" si="13"/>
        <v/>
      </c>
      <c r="F185" s="27" t="str">
        <f t="shared" si="14"/>
        <v/>
      </c>
      <c r="G185" t="str">
        <f t="shared" si="15"/>
        <v/>
      </c>
      <c r="H185" t="str">
        <f t="shared" si="16"/>
        <v/>
      </c>
      <c r="K185" s="5"/>
    </row>
    <row r="186" spans="4:11" x14ac:dyDescent="0.25">
      <c r="D186" s="7" t="str">
        <f t="shared" si="12"/>
        <v/>
      </c>
      <c r="E186" s="6" t="str">
        <f t="shared" si="13"/>
        <v/>
      </c>
      <c r="F186" s="27" t="str">
        <f t="shared" si="14"/>
        <v/>
      </c>
      <c r="G186" t="str">
        <f t="shared" si="15"/>
        <v/>
      </c>
      <c r="H186" t="str">
        <f t="shared" si="16"/>
        <v/>
      </c>
      <c r="K186" s="5"/>
    </row>
    <row r="187" spans="4:11" x14ac:dyDescent="0.25">
      <c r="D187" s="7" t="str">
        <f t="shared" si="12"/>
        <v/>
      </c>
      <c r="E187" s="6" t="str">
        <f t="shared" si="13"/>
        <v/>
      </c>
      <c r="F187" s="27" t="str">
        <f t="shared" si="14"/>
        <v/>
      </c>
      <c r="G187" t="str">
        <f t="shared" si="15"/>
        <v/>
      </c>
      <c r="H187" t="str">
        <f t="shared" si="16"/>
        <v/>
      </c>
      <c r="K187" s="5"/>
    </row>
    <row r="188" spans="4:11" x14ac:dyDescent="0.25">
      <c r="D188" s="7" t="str">
        <f t="shared" si="12"/>
        <v/>
      </c>
      <c r="E188" s="6" t="str">
        <f t="shared" si="13"/>
        <v/>
      </c>
      <c r="F188" s="27" t="str">
        <f t="shared" si="14"/>
        <v/>
      </c>
      <c r="G188" t="str">
        <f t="shared" si="15"/>
        <v/>
      </c>
      <c r="H188" t="str">
        <f t="shared" si="16"/>
        <v/>
      </c>
      <c r="K188" s="5"/>
    </row>
    <row r="189" spans="4:11" x14ac:dyDescent="0.25">
      <c r="D189" s="7" t="str">
        <f t="shared" si="12"/>
        <v/>
      </c>
      <c r="E189" s="6" t="str">
        <f t="shared" si="13"/>
        <v/>
      </c>
      <c r="F189" s="27" t="str">
        <f t="shared" si="14"/>
        <v/>
      </c>
      <c r="G189" t="str">
        <f t="shared" si="15"/>
        <v/>
      </c>
      <c r="H189" t="str">
        <f t="shared" si="16"/>
        <v/>
      </c>
      <c r="K189" s="5"/>
    </row>
    <row r="190" spans="4:11" x14ac:dyDescent="0.25">
      <c r="D190" s="7" t="str">
        <f t="shared" si="12"/>
        <v/>
      </c>
      <c r="E190" s="6" t="str">
        <f t="shared" si="13"/>
        <v/>
      </c>
      <c r="F190" s="27" t="str">
        <f t="shared" si="14"/>
        <v/>
      </c>
      <c r="G190" t="str">
        <f t="shared" si="15"/>
        <v/>
      </c>
      <c r="H190" t="str">
        <f t="shared" si="16"/>
        <v/>
      </c>
      <c r="K190" s="5"/>
    </row>
    <row r="191" spans="4:11" x14ac:dyDescent="0.25">
      <c r="D191" s="7" t="str">
        <f t="shared" si="12"/>
        <v/>
      </c>
      <c r="E191" s="6" t="str">
        <f t="shared" si="13"/>
        <v/>
      </c>
      <c r="F191" s="27" t="str">
        <f t="shared" si="14"/>
        <v/>
      </c>
      <c r="G191" t="str">
        <f t="shared" si="15"/>
        <v/>
      </c>
      <c r="H191" t="str">
        <f t="shared" si="16"/>
        <v/>
      </c>
      <c r="K191" s="5"/>
    </row>
    <row r="192" spans="4:11" x14ac:dyDescent="0.25">
      <c r="D192" s="7" t="str">
        <f t="shared" si="12"/>
        <v/>
      </c>
      <c r="E192" s="6" t="str">
        <f t="shared" si="13"/>
        <v/>
      </c>
      <c r="F192" s="27" t="str">
        <f t="shared" si="14"/>
        <v/>
      </c>
      <c r="G192" t="str">
        <f t="shared" si="15"/>
        <v/>
      </c>
      <c r="H192" t="str">
        <f t="shared" si="16"/>
        <v/>
      </c>
      <c r="K192" s="5"/>
    </row>
    <row r="193" spans="4:11" x14ac:dyDescent="0.25">
      <c r="D193" s="7" t="str">
        <f t="shared" si="12"/>
        <v/>
      </c>
      <c r="E193" s="6" t="str">
        <f t="shared" si="13"/>
        <v/>
      </c>
      <c r="F193" s="27" t="str">
        <f t="shared" si="14"/>
        <v/>
      </c>
      <c r="G193" t="str">
        <f t="shared" si="15"/>
        <v/>
      </c>
      <c r="H193" t="str">
        <f t="shared" si="16"/>
        <v/>
      </c>
      <c r="K193" s="5"/>
    </row>
    <row r="194" spans="4:11" x14ac:dyDescent="0.25">
      <c r="D194" s="7" t="str">
        <f t="shared" si="12"/>
        <v/>
      </c>
      <c r="E194" s="6" t="str">
        <f t="shared" si="13"/>
        <v/>
      </c>
      <c r="F194" s="27" t="str">
        <f t="shared" si="14"/>
        <v/>
      </c>
      <c r="G194" t="str">
        <f t="shared" si="15"/>
        <v/>
      </c>
      <c r="H194" t="str">
        <f t="shared" si="16"/>
        <v/>
      </c>
      <c r="K194" s="5"/>
    </row>
    <row r="195" spans="4:11" x14ac:dyDescent="0.25">
      <c r="D195" s="7" t="str">
        <f t="shared" si="12"/>
        <v/>
      </c>
      <c r="E195" s="6" t="str">
        <f t="shared" si="13"/>
        <v/>
      </c>
      <c r="F195" s="27" t="str">
        <f t="shared" si="14"/>
        <v/>
      </c>
      <c r="G195" t="str">
        <f t="shared" si="15"/>
        <v/>
      </c>
      <c r="H195" t="str">
        <f t="shared" si="16"/>
        <v/>
      </c>
      <c r="K195" s="5"/>
    </row>
    <row r="196" spans="4:11" x14ac:dyDescent="0.25">
      <c r="D196" s="7" t="str">
        <f t="shared" ref="D196:D259" si="17">IF(K196&lt;&gt;"",1+INT((K196-(DATE(YEAR(K196),1,2)-WEEKDAY(DATE(YEAR(K196),1,1))))/7),"")</f>
        <v/>
      </c>
      <c r="E196" s="6" t="str">
        <f t="shared" ref="E196:E259" si="18">IF(K196&lt;&gt;"",TEXT(K196,"ddd"),"")</f>
        <v/>
      </c>
      <c r="F196" s="27" t="str">
        <f t="shared" ref="F196:F259" si="19">IF(K196&lt;&gt;"",MONTH(K196),"")</f>
        <v/>
      </c>
      <c r="G196" t="str">
        <f t="shared" ref="G196:G259" si="20">IF(K196&lt;&gt;"",DAY(K196),"")</f>
        <v/>
      </c>
      <c r="H196" t="str">
        <f t="shared" ref="H196:H259" si="21">IF(K196&lt;&gt;"",YEAR(K196),"")</f>
        <v/>
      </c>
      <c r="K196" s="5"/>
    </row>
    <row r="197" spans="4:11" x14ac:dyDescent="0.25">
      <c r="D197" s="7" t="str">
        <f t="shared" si="17"/>
        <v/>
      </c>
      <c r="E197" s="6" t="str">
        <f t="shared" si="18"/>
        <v/>
      </c>
      <c r="F197" s="27" t="str">
        <f t="shared" si="19"/>
        <v/>
      </c>
      <c r="G197" t="str">
        <f t="shared" si="20"/>
        <v/>
      </c>
      <c r="H197" t="str">
        <f t="shared" si="21"/>
        <v/>
      </c>
      <c r="K197" s="5"/>
    </row>
    <row r="198" spans="4:11" x14ac:dyDescent="0.25">
      <c r="D198" s="7" t="str">
        <f t="shared" si="17"/>
        <v/>
      </c>
      <c r="E198" s="6" t="str">
        <f t="shared" si="18"/>
        <v/>
      </c>
      <c r="F198" s="27" t="str">
        <f t="shared" si="19"/>
        <v/>
      </c>
      <c r="G198" t="str">
        <f t="shared" si="20"/>
        <v/>
      </c>
      <c r="H198" t="str">
        <f t="shared" si="21"/>
        <v/>
      </c>
      <c r="K198" s="5"/>
    </row>
    <row r="199" spans="4:11" x14ac:dyDescent="0.25">
      <c r="D199" s="7" t="str">
        <f t="shared" si="17"/>
        <v/>
      </c>
      <c r="E199" s="6" t="str">
        <f t="shared" si="18"/>
        <v/>
      </c>
      <c r="F199" s="27" t="str">
        <f t="shared" si="19"/>
        <v/>
      </c>
      <c r="G199" t="str">
        <f t="shared" si="20"/>
        <v/>
      </c>
      <c r="H199" t="str">
        <f t="shared" si="21"/>
        <v/>
      </c>
      <c r="K199" s="5"/>
    </row>
    <row r="200" spans="4:11" x14ac:dyDescent="0.25">
      <c r="D200" s="7" t="str">
        <f t="shared" si="17"/>
        <v/>
      </c>
      <c r="E200" s="6" t="str">
        <f t="shared" si="18"/>
        <v/>
      </c>
      <c r="F200" s="27" t="str">
        <f t="shared" si="19"/>
        <v/>
      </c>
      <c r="G200" t="str">
        <f t="shared" si="20"/>
        <v/>
      </c>
      <c r="H200" t="str">
        <f t="shared" si="21"/>
        <v/>
      </c>
      <c r="K200" s="5"/>
    </row>
    <row r="201" spans="4:11" x14ac:dyDescent="0.25">
      <c r="D201" s="7" t="str">
        <f t="shared" si="17"/>
        <v/>
      </c>
      <c r="E201" s="6" t="str">
        <f t="shared" si="18"/>
        <v/>
      </c>
      <c r="F201" s="27" t="str">
        <f t="shared" si="19"/>
        <v/>
      </c>
      <c r="G201" t="str">
        <f t="shared" si="20"/>
        <v/>
      </c>
      <c r="H201" t="str">
        <f t="shared" si="21"/>
        <v/>
      </c>
      <c r="K201" s="5"/>
    </row>
    <row r="202" spans="4:11" x14ac:dyDescent="0.25">
      <c r="D202" s="7" t="str">
        <f t="shared" si="17"/>
        <v/>
      </c>
      <c r="E202" s="6" t="str">
        <f t="shared" si="18"/>
        <v/>
      </c>
      <c r="F202" s="27" t="str">
        <f t="shared" si="19"/>
        <v/>
      </c>
      <c r="G202" t="str">
        <f t="shared" si="20"/>
        <v/>
      </c>
      <c r="H202" t="str">
        <f t="shared" si="21"/>
        <v/>
      </c>
      <c r="K202" s="5"/>
    </row>
    <row r="203" spans="4:11" x14ac:dyDescent="0.25">
      <c r="D203" s="7" t="str">
        <f t="shared" si="17"/>
        <v/>
      </c>
      <c r="E203" s="6" t="str">
        <f t="shared" si="18"/>
        <v/>
      </c>
      <c r="F203" s="27" t="str">
        <f t="shared" si="19"/>
        <v/>
      </c>
      <c r="G203" t="str">
        <f t="shared" si="20"/>
        <v/>
      </c>
      <c r="H203" t="str">
        <f t="shared" si="21"/>
        <v/>
      </c>
      <c r="K203" s="5"/>
    </row>
    <row r="204" spans="4:11" x14ac:dyDescent="0.25">
      <c r="D204" s="7" t="str">
        <f t="shared" si="17"/>
        <v/>
      </c>
      <c r="E204" s="6" t="str">
        <f t="shared" si="18"/>
        <v/>
      </c>
      <c r="F204" s="27" t="str">
        <f t="shared" si="19"/>
        <v/>
      </c>
      <c r="G204" t="str">
        <f t="shared" si="20"/>
        <v/>
      </c>
      <c r="H204" t="str">
        <f t="shared" si="21"/>
        <v/>
      </c>
      <c r="K204" s="5"/>
    </row>
    <row r="205" spans="4:11" x14ac:dyDescent="0.25">
      <c r="D205" s="7" t="str">
        <f t="shared" si="17"/>
        <v/>
      </c>
      <c r="E205" s="6" t="str">
        <f t="shared" si="18"/>
        <v/>
      </c>
      <c r="F205" s="27" t="str">
        <f t="shared" si="19"/>
        <v/>
      </c>
      <c r="G205" t="str">
        <f t="shared" si="20"/>
        <v/>
      </c>
      <c r="H205" t="str">
        <f t="shared" si="21"/>
        <v/>
      </c>
      <c r="K205" s="5"/>
    </row>
    <row r="206" spans="4:11" x14ac:dyDescent="0.25">
      <c r="D206" s="7" t="str">
        <f t="shared" si="17"/>
        <v/>
      </c>
      <c r="E206" s="6" t="str">
        <f t="shared" si="18"/>
        <v/>
      </c>
      <c r="F206" s="27" t="str">
        <f t="shared" si="19"/>
        <v/>
      </c>
      <c r="G206" t="str">
        <f t="shared" si="20"/>
        <v/>
      </c>
      <c r="H206" t="str">
        <f t="shared" si="21"/>
        <v/>
      </c>
      <c r="K206" s="5"/>
    </row>
    <row r="207" spans="4:11" x14ac:dyDescent="0.25">
      <c r="D207" s="7" t="str">
        <f t="shared" si="17"/>
        <v/>
      </c>
      <c r="E207" s="6" t="str">
        <f t="shared" si="18"/>
        <v/>
      </c>
      <c r="F207" s="27" t="str">
        <f t="shared" si="19"/>
        <v/>
      </c>
      <c r="G207" t="str">
        <f t="shared" si="20"/>
        <v/>
      </c>
      <c r="H207" t="str">
        <f t="shared" si="21"/>
        <v/>
      </c>
      <c r="K207" s="5"/>
    </row>
    <row r="208" spans="4:11" x14ac:dyDescent="0.25">
      <c r="D208" s="7" t="str">
        <f t="shared" si="17"/>
        <v/>
      </c>
      <c r="E208" s="6" t="str">
        <f t="shared" si="18"/>
        <v/>
      </c>
      <c r="F208" s="27" t="str">
        <f t="shared" si="19"/>
        <v/>
      </c>
      <c r="G208" t="str">
        <f t="shared" si="20"/>
        <v/>
      </c>
      <c r="H208" t="str">
        <f t="shared" si="21"/>
        <v/>
      </c>
      <c r="K208" s="5"/>
    </row>
    <row r="209" spans="4:11" x14ac:dyDescent="0.25">
      <c r="D209" s="7" t="str">
        <f t="shared" si="17"/>
        <v/>
      </c>
      <c r="E209" s="6" t="str">
        <f t="shared" si="18"/>
        <v/>
      </c>
      <c r="F209" s="27" t="str">
        <f t="shared" si="19"/>
        <v/>
      </c>
      <c r="G209" t="str">
        <f t="shared" si="20"/>
        <v/>
      </c>
      <c r="H209" t="str">
        <f t="shared" si="21"/>
        <v/>
      </c>
      <c r="K209" s="5"/>
    </row>
    <row r="210" spans="4:11" x14ac:dyDescent="0.25">
      <c r="D210" s="7" t="str">
        <f t="shared" si="17"/>
        <v/>
      </c>
      <c r="E210" s="6" t="str">
        <f t="shared" si="18"/>
        <v/>
      </c>
      <c r="F210" s="27" t="str">
        <f t="shared" si="19"/>
        <v/>
      </c>
      <c r="G210" t="str">
        <f t="shared" si="20"/>
        <v/>
      </c>
      <c r="H210" t="str">
        <f t="shared" si="21"/>
        <v/>
      </c>
      <c r="K210" s="5"/>
    </row>
    <row r="211" spans="4:11" x14ac:dyDescent="0.25">
      <c r="D211" s="7" t="str">
        <f t="shared" si="17"/>
        <v/>
      </c>
      <c r="E211" s="6" t="str">
        <f t="shared" si="18"/>
        <v/>
      </c>
      <c r="F211" s="27" t="str">
        <f t="shared" si="19"/>
        <v/>
      </c>
      <c r="G211" t="str">
        <f t="shared" si="20"/>
        <v/>
      </c>
      <c r="H211" t="str">
        <f t="shared" si="21"/>
        <v/>
      </c>
      <c r="K211" s="5"/>
    </row>
    <row r="212" spans="4:11" x14ac:dyDescent="0.25">
      <c r="D212" s="7" t="str">
        <f t="shared" si="17"/>
        <v/>
      </c>
      <c r="E212" s="6" t="str">
        <f t="shared" si="18"/>
        <v/>
      </c>
      <c r="F212" s="27" t="str">
        <f t="shared" si="19"/>
        <v/>
      </c>
      <c r="G212" t="str">
        <f t="shared" si="20"/>
        <v/>
      </c>
      <c r="H212" t="str">
        <f t="shared" si="21"/>
        <v/>
      </c>
      <c r="K212" s="5"/>
    </row>
    <row r="213" spans="4:11" x14ac:dyDescent="0.25">
      <c r="D213" s="7" t="str">
        <f t="shared" si="17"/>
        <v/>
      </c>
      <c r="E213" s="6" t="str">
        <f t="shared" si="18"/>
        <v/>
      </c>
      <c r="F213" s="27" t="str">
        <f t="shared" si="19"/>
        <v/>
      </c>
      <c r="G213" t="str">
        <f t="shared" si="20"/>
        <v/>
      </c>
      <c r="H213" t="str">
        <f t="shared" si="21"/>
        <v/>
      </c>
      <c r="K213" s="5"/>
    </row>
    <row r="214" spans="4:11" x14ac:dyDescent="0.25">
      <c r="D214" s="7" t="str">
        <f t="shared" si="17"/>
        <v/>
      </c>
      <c r="E214" s="6" t="str">
        <f t="shared" si="18"/>
        <v/>
      </c>
      <c r="F214" s="27" t="str">
        <f t="shared" si="19"/>
        <v/>
      </c>
      <c r="G214" t="str">
        <f t="shared" si="20"/>
        <v/>
      </c>
      <c r="H214" t="str">
        <f t="shared" si="21"/>
        <v/>
      </c>
      <c r="K214" s="5"/>
    </row>
    <row r="215" spans="4:11" x14ac:dyDescent="0.25">
      <c r="D215" s="7" t="str">
        <f t="shared" si="17"/>
        <v/>
      </c>
      <c r="E215" s="6" t="str">
        <f t="shared" si="18"/>
        <v/>
      </c>
      <c r="F215" s="27" t="str">
        <f t="shared" si="19"/>
        <v/>
      </c>
      <c r="G215" t="str">
        <f t="shared" si="20"/>
        <v/>
      </c>
      <c r="H215" t="str">
        <f t="shared" si="21"/>
        <v/>
      </c>
      <c r="K215" s="5"/>
    </row>
    <row r="216" spans="4:11" x14ac:dyDescent="0.25">
      <c r="D216" s="7" t="str">
        <f t="shared" si="17"/>
        <v/>
      </c>
      <c r="E216" s="6" t="str">
        <f t="shared" si="18"/>
        <v/>
      </c>
      <c r="F216" s="27" t="str">
        <f t="shared" si="19"/>
        <v/>
      </c>
      <c r="G216" t="str">
        <f t="shared" si="20"/>
        <v/>
      </c>
      <c r="H216" t="str">
        <f t="shared" si="21"/>
        <v/>
      </c>
      <c r="K216" s="5"/>
    </row>
    <row r="217" spans="4:11" x14ac:dyDescent="0.25">
      <c r="D217" s="7" t="str">
        <f t="shared" si="17"/>
        <v/>
      </c>
      <c r="E217" s="6" t="str">
        <f t="shared" si="18"/>
        <v/>
      </c>
      <c r="F217" s="27" t="str">
        <f t="shared" si="19"/>
        <v/>
      </c>
      <c r="G217" t="str">
        <f t="shared" si="20"/>
        <v/>
      </c>
      <c r="H217" t="str">
        <f t="shared" si="21"/>
        <v/>
      </c>
      <c r="K217" s="5"/>
    </row>
    <row r="218" spans="4:11" x14ac:dyDescent="0.25">
      <c r="D218" s="7" t="str">
        <f t="shared" si="17"/>
        <v/>
      </c>
      <c r="E218" s="6" t="str">
        <f t="shared" si="18"/>
        <v/>
      </c>
      <c r="F218" s="27" t="str">
        <f t="shared" si="19"/>
        <v/>
      </c>
      <c r="G218" t="str">
        <f t="shared" si="20"/>
        <v/>
      </c>
      <c r="H218" t="str">
        <f t="shared" si="21"/>
        <v/>
      </c>
      <c r="K218" s="5"/>
    </row>
    <row r="219" spans="4:11" x14ac:dyDescent="0.25">
      <c r="D219" s="7" t="str">
        <f t="shared" si="17"/>
        <v/>
      </c>
      <c r="E219" s="6" t="str">
        <f t="shared" si="18"/>
        <v/>
      </c>
      <c r="F219" s="27" t="str">
        <f t="shared" si="19"/>
        <v/>
      </c>
      <c r="G219" t="str">
        <f t="shared" si="20"/>
        <v/>
      </c>
      <c r="H219" t="str">
        <f t="shared" si="21"/>
        <v/>
      </c>
      <c r="K219" s="5"/>
    </row>
    <row r="220" spans="4:11" x14ac:dyDescent="0.25">
      <c r="D220" s="7" t="str">
        <f t="shared" si="17"/>
        <v/>
      </c>
      <c r="E220" s="6" t="str">
        <f t="shared" si="18"/>
        <v/>
      </c>
      <c r="F220" s="27" t="str">
        <f t="shared" si="19"/>
        <v/>
      </c>
      <c r="G220" t="str">
        <f t="shared" si="20"/>
        <v/>
      </c>
      <c r="H220" t="str">
        <f t="shared" si="21"/>
        <v/>
      </c>
      <c r="K220" s="5"/>
    </row>
    <row r="221" spans="4:11" x14ac:dyDescent="0.25">
      <c r="D221" s="7" t="str">
        <f t="shared" si="17"/>
        <v/>
      </c>
      <c r="E221" s="6" t="str">
        <f t="shared" si="18"/>
        <v/>
      </c>
      <c r="F221" s="27" t="str">
        <f t="shared" si="19"/>
        <v/>
      </c>
      <c r="G221" t="str">
        <f t="shared" si="20"/>
        <v/>
      </c>
      <c r="H221" t="str">
        <f t="shared" si="21"/>
        <v/>
      </c>
      <c r="K221" s="5"/>
    </row>
    <row r="222" spans="4:11" x14ac:dyDescent="0.25">
      <c r="D222" s="7" t="str">
        <f t="shared" si="17"/>
        <v/>
      </c>
      <c r="E222" s="6" t="str">
        <f t="shared" si="18"/>
        <v/>
      </c>
      <c r="F222" s="27" t="str">
        <f t="shared" si="19"/>
        <v/>
      </c>
      <c r="G222" t="str">
        <f t="shared" si="20"/>
        <v/>
      </c>
      <c r="H222" t="str">
        <f t="shared" si="21"/>
        <v/>
      </c>
      <c r="K222" s="5"/>
    </row>
    <row r="223" spans="4:11" x14ac:dyDescent="0.25">
      <c r="D223" s="7" t="str">
        <f t="shared" si="17"/>
        <v/>
      </c>
      <c r="E223" s="6" t="str">
        <f t="shared" si="18"/>
        <v/>
      </c>
      <c r="F223" s="27" t="str">
        <f t="shared" si="19"/>
        <v/>
      </c>
      <c r="G223" t="str">
        <f t="shared" si="20"/>
        <v/>
      </c>
      <c r="H223" t="str">
        <f t="shared" si="21"/>
        <v/>
      </c>
      <c r="K223" s="5"/>
    </row>
    <row r="224" spans="4:11" x14ac:dyDescent="0.25">
      <c r="D224" s="7" t="str">
        <f t="shared" si="17"/>
        <v/>
      </c>
      <c r="E224" s="6" t="str">
        <f t="shared" si="18"/>
        <v/>
      </c>
      <c r="F224" s="27" t="str">
        <f t="shared" si="19"/>
        <v/>
      </c>
      <c r="G224" t="str">
        <f t="shared" si="20"/>
        <v/>
      </c>
      <c r="H224" t="str">
        <f t="shared" si="21"/>
        <v/>
      </c>
      <c r="K224" s="5"/>
    </row>
    <row r="225" spans="4:11" x14ac:dyDescent="0.25">
      <c r="D225" s="7" t="str">
        <f t="shared" si="17"/>
        <v/>
      </c>
      <c r="E225" s="6" t="str">
        <f t="shared" si="18"/>
        <v/>
      </c>
      <c r="F225" s="27" t="str">
        <f t="shared" si="19"/>
        <v/>
      </c>
      <c r="G225" t="str">
        <f t="shared" si="20"/>
        <v/>
      </c>
      <c r="H225" t="str">
        <f t="shared" si="21"/>
        <v/>
      </c>
      <c r="K225" s="5"/>
    </row>
    <row r="226" spans="4:11" x14ac:dyDescent="0.25">
      <c r="D226" s="7" t="str">
        <f t="shared" si="17"/>
        <v/>
      </c>
      <c r="E226" s="6" t="str">
        <f t="shared" si="18"/>
        <v/>
      </c>
      <c r="F226" s="27" t="str">
        <f t="shared" si="19"/>
        <v/>
      </c>
      <c r="G226" t="str">
        <f t="shared" si="20"/>
        <v/>
      </c>
      <c r="H226" t="str">
        <f t="shared" si="21"/>
        <v/>
      </c>
      <c r="K226" s="5"/>
    </row>
    <row r="227" spans="4:11" x14ac:dyDescent="0.25">
      <c r="D227" s="7" t="str">
        <f t="shared" si="17"/>
        <v/>
      </c>
      <c r="E227" s="6" t="str">
        <f t="shared" si="18"/>
        <v/>
      </c>
      <c r="F227" s="27" t="str">
        <f t="shared" si="19"/>
        <v/>
      </c>
      <c r="G227" t="str">
        <f t="shared" si="20"/>
        <v/>
      </c>
      <c r="H227" t="str">
        <f t="shared" si="21"/>
        <v/>
      </c>
      <c r="K227" s="5"/>
    </row>
    <row r="228" spans="4:11" x14ac:dyDescent="0.25">
      <c r="D228" s="7" t="str">
        <f t="shared" si="17"/>
        <v/>
      </c>
      <c r="E228" s="6" t="str">
        <f t="shared" si="18"/>
        <v/>
      </c>
      <c r="F228" s="27" t="str">
        <f t="shared" si="19"/>
        <v/>
      </c>
      <c r="G228" t="str">
        <f t="shared" si="20"/>
        <v/>
      </c>
      <c r="H228" t="str">
        <f t="shared" si="21"/>
        <v/>
      </c>
      <c r="K228" s="5"/>
    </row>
    <row r="229" spans="4:11" x14ac:dyDescent="0.25">
      <c r="D229" s="7" t="str">
        <f t="shared" si="17"/>
        <v/>
      </c>
      <c r="E229" s="6" t="str">
        <f t="shared" si="18"/>
        <v/>
      </c>
      <c r="F229" s="27" t="str">
        <f t="shared" si="19"/>
        <v/>
      </c>
      <c r="G229" t="str">
        <f t="shared" si="20"/>
        <v/>
      </c>
      <c r="H229" t="str">
        <f t="shared" si="21"/>
        <v/>
      </c>
      <c r="K229" s="5"/>
    </row>
    <row r="230" spans="4:11" x14ac:dyDescent="0.25">
      <c r="D230" s="7" t="str">
        <f t="shared" si="17"/>
        <v/>
      </c>
      <c r="E230" s="6" t="str">
        <f t="shared" si="18"/>
        <v/>
      </c>
      <c r="F230" s="27" t="str">
        <f t="shared" si="19"/>
        <v/>
      </c>
      <c r="G230" t="str">
        <f t="shared" si="20"/>
        <v/>
      </c>
      <c r="H230" t="str">
        <f t="shared" si="21"/>
        <v/>
      </c>
      <c r="K230" s="5"/>
    </row>
    <row r="231" spans="4:11" x14ac:dyDescent="0.25">
      <c r="D231" s="7" t="str">
        <f t="shared" si="17"/>
        <v/>
      </c>
      <c r="E231" s="6" t="str">
        <f t="shared" si="18"/>
        <v/>
      </c>
      <c r="F231" s="27" t="str">
        <f t="shared" si="19"/>
        <v/>
      </c>
      <c r="G231" t="str">
        <f t="shared" si="20"/>
        <v/>
      </c>
      <c r="H231" t="str">
        <f t="shared" si="21"/>
        <v/>
      </c>
      <c r="K231" s="5"/>
    </row>
    <row r="232" spans="4:11" x14ac:dyDescent="0.25">
      <c r="D232" s="7" t="str">
        <f t="shared" si="17"/>
        <v/>
      </c>
      <c r="E232" s="6" t="str">
        <f t="shared" si="18"/>
        <v/>
      </c>
      <c r="F232" s="27" t="str">
        <f t="shared" si="19"/>
        <v/>
      </c>
      <c r="G232" t="str">
        <f t="shared" si="20"/>
        <v/>
      </c>
      <c r="H232" t="str">
        <f t="shared" si="21"/>
        <v/>
      </c>
      <c r="K232" s="5"/>
    </row>
    <row r="233" spans="4:11" x14ac:dyDescent="0.25">
      <c r="D233" s="7" t="str">
        <f t="shared" si="17"/>
        <v/>
      </c>
      <c r="E233" s="6" t="str">
        <f t="shared" si="18"/>
        <v/>
      </c>
      <c r="F233" s="27" t="str">
        <f t="shared" si="19"/>
        <v/>
      </c>
      <c r="G233" t="str">
        <f t="shared" si="20"/>
        <v/>
      </c>
      <c r="H233" t="str">
        <f t="shared" si="21"/>
        <v/>
      </c>
      <c r="K233" s="5"/>
    </row>
    <row r="234" spans="4:11" x14ac:dyDescent="0.25">
      <c r="D234" s="7" t="str">
        <f t="shared" si="17"/>
        <v/>
      </c>
      <c r="E234" s="6" t="str">
        <f t="shared" si="18"/>
        <v/>
      </c>
      <c r="F234" s="27" t="str">
        <f t="shared" si="19"/>
        <v/>
      </c>
      <c r="G234" t="str">
        <f t="shared" si="20"/>
        <v/>
      </c>
      <c r="H234" t="str">
        <f t="shared" si="21"/>
        <v/>
      </c>
      <c r="K234" s="5"/>
    </row>
    <row r="235" spans="4:11" x14ac:dyDescent="0.25">
      <c r="D235" s="7" t="str">
        <f t="shared" si="17"/>
        <v/>
      </c>
      <c r="E235" s="6" t="str">
        <f t="shared" si="18"/>
        <v/>
      </c>
      <c r="F235" s="27" t="str">
        <f t="shared" si="19"/>
        <v/>
      </c>
      <c r="G235" t="str">
        <f t="shared" si="20"/>
        <v/>
      </c>
      <c r="H235" t="str">
        <f t="shared" si="21"/>
        <v/>
      </c>
      <c r="K235" s="5"/>
    </row>
    <row r="236" spans="4:11" x14ac:dyDescent="0.25">
      <c r="D236" s="7" t="str">
        <f t="shared" si="17"/>
        <v/>
      </c>
      <c r="E236" s="6" t="str">
        <f t="shared" si="18"/>
        <v/>
      </c>
      <c r="F236" s="27" t="str">
        <f t="shared" si="19"/>
        <v/>
      </c>
      <c r="G236" t="str">
        <f t="shared" si="20"/>
        <v/>
      </c>
      <c r="H236" t="str">
        <f t="shared" si="21"/>
        <v/>
      </c>
      <c r="K236" s="5"/>
    </row>
    <row r="237" spans="4:11" x14ac:dyDescent="0.25">
      <c r="D237" s="7" t="str">
        <f t="shared" si="17"/>
        <v/>
      </c>
      <c r="E237" s="6" t="str">
        <f t="shared" si="18"/>
        <v/>
      </c>
      <c r="F237" s="27" t="str">
        <f t="shared" si="19"/>
        <v/>
      </c>
      <c r="G237" t="str">
        <f t="shared" si="20"/>
        <v/>
      </c>
      <c r="H237" t="str">
        <f t="shared" si="21"/>
        <v/>
      </c>
      <c r="K237" s="5"/>
    </row>
    <row r="238" spans="4:11" x14ac:dyDescent="0.25">
      <c r="D238" s="7" t="str">
        <f t="shared" si="17"/>
        <v/>
      </c>
      <c r="E238" s="6" t="str">
        <f t="shared" si="18"/>
        <v/>
      </c>
      <c r="F238" s="27" t="str">
        <f t="shared" si="19"/>
        <v/>
      </c>
      <c r="G238" t="str">
        <f t="shared" si="20"/>
        <v/>
      </c>
      <c r="H238" t="str">
        <f t="shared" si="21"/>
        <v/>
      </c>
      <c r="K238" s="5"/>
    </row>
    <row r="239" spans="4:11" x14ac:dyDescent="0.25">
      <c r="D239" s="7" t="str">
        <f t="shared" si="17"/>
        <v/>
      </c>
      <c r="E239" s="6" t="str">
        <f t="shared" si="18"/>
        <v/>
      </c>
      <c r="F239" s="27" t="str">
        <f t="shared" si="19"/>
        <v/>
      </c>
      <c r="G239" t="str">
        <f t="shared" si="20"/>
        <v/>
      </c>
      <c r="H239" t="str">
        <f t="shared" si="21"/>
        <v/>
      </c>
      <c r="K239" s="5"/>
    </row>
    <row r="240" spans="4:11" x14ac:dyDescent="0.25">
      <c r="D240" s="7" t="str">
        <f t="shared" si="17"/>
        <v/>
      </c>
      <c r="E240" s="6" t="str">
        <f t="shared" si="18"/>
        <v/>
      </c>
      <c r="F240" s="27" t="str">
        <f t="shared" si="19"/>
        <v/>
      </c>
      <c r="G240" t="str">
        <f t="shared" si="20"/>
        <v/>
      </c>
      <c r="H240" t="str">
        <f t="shared" si="21"/>
        <v/>
      </c>
      <c r="K240" s="5"/>
    </row>
    <row r="241" spans="4:11" x14ac:dyDescent="0.25">
      <c r="D241" s="7" t="str">
        <f t="shared" si="17"/>
        <v/>
      </c>
      <c r="E241" s="6" t="str">
        <f t="shared" si="18"/>
        <v/>
      </c>
      <c r="F241" s="27" t="str">
        <f t="shared" si="19"/>
        <v/>
      </c>
      <c r="G241" t="str">
        <f t="shared" si="20"/>
        <v/>
      </c>
      <c r="H241" t="str">
        <f t="shared" si="21"/>
        <v/>
      </c>
      <c r="K241" s="5"/>
    </row>
    <row r="242" spans="4:11" x14ac:dyDescent="0.25">
      <c r="D242" s="7" t="str">
        <f t="shared" si="17"/>
        <v/>
      </c>
      <c r="E242" s="6" t="str">
        <f t="shared" si="18"/>
        <v/>
      </c>
      <c r="F242" s="27" t="str">
        <f t="shared" si="19"/>
        <v/>
      </c>
      <c r="G242" t="str">
        <f t="shared" si="20"/>
        <v/>
      </c>
      <c r="H242" t="str">
        <f t="shared" si="21"/>
        <v/>
      </c>
      <c r="K242" s="5"/>
    </row>
    <row r="243" spans="4:11" x14ac:dyDescent="0.25">
      <c r="D243" s="7" t="str">
        <f t="shared" si="17"/>
        <v/>
      </c>
      <c r="E243" s="6" t="str">
        <f t="shared" si="18"/>
        <v/>
      </c>
      <c r="F243" s="27" t="str">
        <f t="shared" si="19"/>
        <v/>
      </c>
      <c r="G243" t="str">
        <f t="shared" si="20"/>
        <v/>
      </c>
      <c r="H243" t="str">
        <f t="shared" si="21"/>
        <v/>
      </c>
      <c r="K243" s="5"/>
    </row>
    <row r="244" spans="4:11" x14ac:dyDescent="0.25">
      <c r="D244" s="7" t="str">
        <f t="shared" si="17"/>
        <v/>
      </c>
      <c r="E244" s="6" t="str">
        <f t="shared" si="18"/>
        <v/>
      </c>
      <c r="F244" s="27" t="str">
        <f t="shared" si="19"/>
        <v/>
      </c>
      <c r="G244" t="str">
        <f t="shared" si="20"/>
        <v/>
      </c>
      <c r="H244" t="str">
        <f t="shared" si="21"/>
        <v/>
      </c>
      <c r="K244" s="5"/>
    </row>
    <row r="245" spans="4:11" x14ac:dyDescent="0.25">
      <c r="D245" s="7" t="str">
        <f t="shared" si="17"/>
        <v/>
      </c>
      <c r="E245" s="6" t="str">
        <f t="shared" si="18"/>
        <v/>
      </c>
      <c r="F245" s="27" t="str">
        <f t="shared" si="19"/>
        <v/>
      </c>
      <c r="G245" t="str">
        <f t="shared" si="20"/>
        <v/>
      </c>
      <c r="H245" t="str">
        <f t="shared" si="21"/>
        <v/>
      </c>
      <c r="K245" s="5"/>
    </row>
    <row r="246" spans="4:11" x14ac:dyDescent="0.25">
      <c r="D246" s="7" t="str">
        <f t="shared" si="17"/>
        <v/>
      </c>
      <c r="E246" s="6" t="str">
        <f t="shared" si="18"/>
        <v/>
      </c>
      <c r="F246" s="27" t="str">
        <f t="shared" si="19"/>
        <v/>
      </c>
      <c r="G246" t="str">
        <f t="shared" si="20"/>
        <v/>
      </c>
      <c r="H246" t="str">
        <f t="shared" si="21"/>
        <v/>
      </c>
      <c r="K246" s="5"/>
    </row>
    <row r="247" spans="4:11" x14ac:dyDescent="0.25">
      <c r="D247" s="7" t="str">
        <f t="shared" si="17"/>
        <v/>
      </c>
      <c r="E247" s="6" t="str">
        <f t="shared" si="18"/>
        <v/>
      </c>
      <c r="F247" s="27" t="str">
        <f t="shared" si="19"/>
        <v/>
      </c>
      <c r="G247" t="str">
        <f t="shared" si="20"/>
        <v/>
      </c>
      <c r="H247" t="str">
        <f t="shared" si="21"/>
        <v/>
      </c>
      <c r="K247" s="5"/>
    </row>
    <row r="248" spans="4:11" x14ac:dyDescent="0.25">
      <c r="D248" s="7" t="str">
        <f t="shared" si="17"/>
        <v/>
      </c>
      <c r="E248" s="6" t="str">
        <f t="shared" si="18"/>
        <v/>
      </c>
      <c r="F248" s="27" t="str">
        <f t="shared" si="19"/>
        <v/>
      </c>
      <c r="G248" t="str">
        <f t="shared" si="20"/>
        <v/>
      </c>
      <c r="H248" t="str">
        <f t="shared" si="21"/>
        <v/>
      </c>
      <c r="K248" s="5"/>
    </row>
    <row r="249" spans="4:11" x14ac:dyDescent="0.25">
      <c r="D249" s="7" t="str">
        <f t="shared" si="17"/>
        <v/>
      </c>
      <c r="E249" s="6" t="str">
        <f t="shared" si="18"/>
        <v/>
      </c>
      <c r="F249" s="27" t="str">
        <f t="shared" si="19"/>
        <v/>
      </c>
      <c r="G249" t="str">
        <f t="shared" si="20"/>
        <v/>
      </c>
      <c r="H249" t="str">
        <f t="shared" si="21"/>
        <v/>
      </c>
      <c r="K249" s="5"/>
    </row>
    <row r="250" spans="4:11" x14ac:dyDescent="0.25">
      <c r="D250" s="7" t="str">
        <f t="shared" si="17"/>
        <v/>
      </c>
      <c r="E250" s="6" t="str">
        <f t="shared" si="18"/>
        <v/>
      </c>
      <c r="F250" s="27" t="str">
        <f t="shared" si="19"/>
        <v/>
      </c>
      <c r="G250" t="str">
        <f t="shared" si="20"/>
        <v/>
      </c>
      <c r="H250" t="str">
        <f t="shared" si="21"/>
        <v/>
      </c>
      <c r="K250" s="5"/>
    </row>
    <row r="251" spans="4:11" x14ac:dyDescent="0.25">
      <c r="D251" s="7" t="str">
        <f t="shared" si="17"/>
        <v/>
      </c>
      <c r="E251" s="6" t="str">
        <f t="shared" si="18"/>
        <v/>
      </c>
      <c r="F251" s="27" t="str">
        <f t="shared" si="19"/>
        <v/>
      </c>
      <c r="G251" t="str">
        <f t="shared" si="20"/>
        <v/>
      </c>
      <c r="H251" t="str">
        <f t="shared" si="21"/>
        <v/>
      </c>
      <c r="K251" s="5"/>
    </row>
    <row r="252" spans="4:11" x14ac:dyDescent="0.25">
      <c r="D252" s="7" t="str">
        <f t="shared" si="17"/>
        <v/>
      </c>
      <c r="E252" s="6" t="str">
        <f t="shared" si="18"/>
        <v/>
      </c>
      <c r="F252" s="27" t="str">
        <f t="shared" si="19"/>
        <v/>
      </c>
      <c r="G252" t="str">
        <f t="shared" si="20"/>
        <v/>
      </c>
      <c r="H252" t="str">
        <f t="shared" si="21"/>
        <v/>
      </c>
      <c r="K252" s="5"/>
    </row>
    <row r="253" spans="4:11" x14ac:dyDescent="0.25">
      <c r="D253" s="7" t="str">
        <f t="shared" si="17"/>
        <v/>
      </c>
      <c r="E253" s="6" t="str">
        <f t="shared" si="18"/>
        <v/>
      </c>
      <c r="F253" s="27" t="str">
        <f t="shared" si="19"/>
        <v/>
      </c>
      <c r="G253" t="str">
        <f t="shared" si="20"/>
        <v/>
      </c>
      <c r="H253" t="str">
        <f t="shared" si="21"/>
        <v/>
      </c>
      <c r="K253" s="5"/>
    </row>
    <row r="254" spans="4:11" x14ac:dyDescent="0.25">
      <c r="D254" s="7" t="str">
        <f t="shared" si="17"/>
        <v/>
      </c>
      <c r="E254" s="6" t="str">
        <f t="shared" si="18"/>
        <v/>
      </c>
      <c r="F254" s="27" t="str">
        <f t="shared" si="19"/>
        <v/>
      </c>
      <c r="G254" t="str">
        <f t="shared" si="20"/>
        <v/>
      </c>
      <c r="H254" t="str">
        <f t="shared" si="21"/>
        <v/>
      </c>
      <c r="K254" s="5"/>
    </row>
    <row r="255" spans="4:11" x14ac:dyDescent="0.25">
      <c r="D255" s="7" t="str">
        <f t="shared" si="17"/>
        <v/>
      </c>
      <c r="E255" s="6" t="str">
        <f t="shared" si="18"/>
        <v/>
      </c>
      <c r="F255" s="27" t="str">
        <f t="shared" si="19"/>
        <v/>
      </c>
      <c r="G255" t="str">
        <f t="shared" si="20"/>
        <v/>
      </c>
      <c r="H255" t="str">
        <f t="shared" si="21"/>
        <v/>
      </c>
      <c r="K255" s="5"/>
    </row>
    <row r="256" spans="4:11" x14ac:dyDescent="0.25">
      <c r="D256" s="7" t="str">
        <f t="shared" si="17"/>
        <v/>
      </c>
      <c r="E256" s="6" t="str">
        <f t="shared" si="18"/>
        <v/>
      </c>
      <c r="F256" s="27" t="str">
        <f t="shared" si="19"/>
        <v/>
      </c>
      <c r="G256" t="str">
        <f t="shared" si="20"/>
        <v/>
      </c>
      <c r="H256" t="str">
        <f t="shared" si="21"/>
        <v/>
      </c>
      <c r="K256" s="5"/>
    </row>
    <row r="257" spans="4:11" x14ac:dyDescent="0.25">
      <c r="D257" s="7" t="str">
        <f t="shared" si="17"/>
        <v/>
      </c>
      <c r="E257" s="6" t="str">
        <f t="shared" si="18"/>
        <v/>
      </c>
      <c r="F257" s="27" t="str">
        <f t="shared" si="19"/>
        <v/>
      </c>
      <c r="G257" t="str">
        <f t="shared" si="20"/>
        <v/>
      </c>
      <c r="H257" t="str">
        <f t="shared" si="21"/>
        <v/>
      </c>
      <c r="K257" s="5"/>
    </row>
    <row r="258" spans="4:11" x14ac:dyDescent="0.25">
      <c r="D258" s="7" t="str">
        <f t="shared" si="17"/>
        <v/>
      </c>
      <c r="E258" s="6" t="str">
        <f t="shared" si="18"/>
        <v/>
      </c>
      <c r="F258" s="27" t="str">
        <f t="shared" si="19"/>
        <v/>
      </c>
      <c r="G258" t="str">
        <f t="shared" si="20"/>
        <v/>
      </c>
      <c r="H258" t="str">
        <f t="shared" si="21"/>
        <v/>
      </c>
      <c r="K258" s="5"/>
    </row>
    <row r="259" spans="4:11" x14ac:dyDescent="0.25">
      <c r="D259" s="7" t="str">
        <f t="shared" si="17"/>
        <v/>
      </c>
      <c r="E259" s="6" t="str">
        <f t="shared" si="18"/>
        <v/>
      </c>
      <c r="F259" s="27" t="str">
        <f t="shared" si="19"/>
        <v/>
      </c>
      <c r="G259" t="str">
        <f t="shared" si="20"/>
        <v/>
      </c>
      <c r="H259" t="str">
        <f t="shared" si="21"/>
        <v/>
      </c>
      <c r="K259" s="5"/>
    </row>
    <row r="260" spans="4:11" x14ac:dyDescent="0.25">
      <c r="D260" s="7" t="str">
        <f t="shared" ref="D260:D321" si="22">IF(K260&lt;&gt;"",1+INT((K260-(DATE(YEAR(K260),1,2)-WEEKDAY(DATE(YEAR(K260),1,1))))/7),"")</f>
        <v/>
      </c>
      <c r="E260" s="6" t="str">
        <f t="shared" ref="E260:E321" si="23">IF(K260&lt;&gt;"",TEXT(K260,"ddd"),"")</f>
        <v/>
      </c>
      <c r="F260" s="27" t="str">
        <f t="shared" ref="F260:F321" si="24">IF(K260&lt;&gt;"",MONTH(K260),"")</f>
        <v/>
      </c>
      <c r="G260" t="str">
        <f t="shared" ref="G260:G321" si="25">IF(K260&lt;&gt;"",DAY(K260),"")</f>
        <v/>
      </c>
      <c r="H260" t="str">
        <f t="shared" ref="H260:H321" si="26">IF(K260&lt;&gt;"",YEAR(K260),"")</f>
        <v/>
      </c>
      <c r="K260" s="5"/>
    </row>
    <row r="261" spans="4:11" x14ac:dyDescent="0.25">
      <c r="D261" s="7" t="str">
        <f t="shared" si="22"/>
        <v/>
      </c>
      <c r="E261" s="6" t="str">
        <f t="shared" si="23"/>
        <v/>
      </c>
      <c r="F261" s="27" t="str">
        <f t="shared" si="24"/>
        <v/>
      </c>
      <c r="G261" t="str">
        <f t="shared" si="25"/>
        <v/>
      </c>
      <c r="H261" t="str">
        <f t="shared" si="26"/>
        <v/>
      </c>
      <c r="K261" s="5"/>
    </row>
    <row r="262" spans="4:11" x14ac:dyDescent="0.25">
      <c r="D262" s="7" t="str">
        <f t="shared" si="22"/>
        <v/>
      </c>
      <c r="E262" s="6" t="str">
        <f t="shared" si="23"/>
        <v/>
      </c>
      <c r="F262" s="27" t="str">
        <f t="shared" si="24"/>
        <v/>
      </c>
      <c r="G262" t="str">
        <f t="shared" si="25"/>
        <v/>
      </c>
      <c r="H262" t="str">
        <f t="shared" si="26"/>
        <v/>
      </c>
      <c r="K262" s="5"/>
    </row>
    <row r="263" spans="4:11" x14ac:dyDescent="0.25">
      <c r="D263" s="7" t="str">
        <f t="shared" si="22"/>
        <v/>
      </c>
      <c r="E263" s="6" t="str">
        <f t="shared" si="23"/>
        <v/>
      </c>
      <c r="F263" s="27" t="str">
        <f t="shared" si="24"/>
        <v/>
      </c>
      <c r="G263" t="str">
        <f t="shared" si="25"/>
        <v/>
      </c>
      <c r="H263" t="str">
        <f t="shared" si="26"/>
        <v/>
      </c>
      <c r="K263" s="5"/>
    </row>
    <row r="264" spans="4:11" x14ac:dyDescent="0.25">
      <c r="D264" s="7" t="str">
        <f t="shared" si="22"/>
        <v/>
      </c>
      <c r="E264" s="6" t="str">
        <f t="shared" si="23"/>
        <v/>
      </c>
      <c r="F264" s="27" t="str">
        <f t="shared" si="24"/>
        <v/>
      </c>
      <c r="G264" t="str">
        <f t="shared" si="25"/>
        <v/>
      </c>
      <c r="H264" t="str">
        <f t="shared" si="26"/>
        <v/>
      </c>
      <c r="K264" s="5"/>
    </row>
    <row r="265" spans="4:11" x14ac:dyDescent="0.25">
      <c r="D265" s="7" t="str">
        <f t="shared" si="22"/>
        <v/>
      </c>
      <c r="E265" s="6" t="str">
        <f t="shared" si="23"/>
        <v/>
      </c>
      <c r="F265" s="27" t="str">
        <f t="shared" si="24"/>
        <v/>
      </c>
      <c r="G265" t="str">
        <f t="shared" si="25"/>
        <v/>
      </c>
      <c r="H265" t="str">
        <f t="shared" si="26"/>
        <v/>
      </c>
      <c r="K265" s="5"/>
    </row>
    <row r="266" spans="4:11" x14ac:dyDescent="0.25">
      <c r="D266" s="7" t="str">
        <f t="shared" si="22"/>
        <v/>
      </c>
      <c r="E266" s="6" t="str">
        <f t="shared" si="23"/>
        <v/>
      </c>
      <c r="F266" s="27" t="str">
        <f t="shared" si="24"/>
        <v/>
      </c>
      <c r="G266" t="str">
        <f t="shared" si="25"/>
        <v/>
      </c>
      <c r="H266" t="str">
        <f t="shared" si="26"/>
        <v/>
      </c>
      <c r="K266" s="5"/>
    </row>
    <row r="267" spans="4:11" x14ac:dyDescent="0.25">
      <c r="D267" s="7" t="str">
        <f t="shared" si="22"/>
        <v/>
      </c>
      <c r="E267" s="6" t="str">
        <f t="shared" si="23"/>
        <v/>
      </c>
      <c r="F267" s="27" t="str">
        <f t="shared" si="24"/>
        <v/>
      </c>
      <c r="G267" t="str">
        <f t="shared" si="25"/>
        <v/>
      </c>
      <c r="H267" t="str">
        <f t="shared" si="26"/>
        <v/>
      </c>
      <c r="K267" s="5"/>
    </row>
    <row r="268" spans="4:11" x14ac:dyDescent="0.25">
      <c r="D268" s="7" t="str">
        <f t="shared" si="22"/>
        <v/>
      </c>
      <c r="E268" s="6" t="str">
        <f t="shared" si="23"/>
        <v/>
      </c>
      <c r="F268" s="27" t="str">
        <f t="shared" si="24"/>
        <v/>
      </c>
      <c r="G268" t="str">
        <f t="shared" si="25"/>
        <v/>
      </c>
      <c r="H268" t="str">
        <f t="shared" si="26"/>
        <v/>
      </c>
      <c r="K268" s="5"/>
    </row>
    <row r="269" spans="4:11" x14ac:dyDescent="0.25">
      <c r="D269" s="7" t="str">
        <f t="shared" si="22"/>
        <v/>
      </c>
      <c r="E269" s="6" t="str">
        <f t="shared" si="23"/>
        <v/>
      </c>
      <c r="F269" s="27" t="str">
        <f t="shared" si="24"/>
        <v/>
      </c>
      <c r="G269" t="str">
        <f t="shared" si="25"/>
        <v/>
      </c>
      <c r="H269" t="str">
        <f t="shared" si="26"/>
        <v/>
      </c>
      <c r="K269" s="5"/>
    </row>
    <row r="270" spans="4:11" x14ac:dyDescent="0.25">
      <c r="D270" s="7" t="str">
        <f t="shared" si="22"/>
        <v/>
      </c>
      <c r="E270" s="6" t="str">
        <f t="shared" si="23"/>
        <v/>
      </c>
      <c r="F270" s="27" t="str">
        <f t="shared" si="24"/>
        <v/>
      </c>
      <c r="G270" t="str">
        <f t="shared" si="25"/>
        <v/>
      </c>
      <c r="H270" t="str">
        <f t="shared" si="26"/>
        <v/>
      </c>
      <c r="K270" s="5"/>
    </row>
    <row r="271" spans="4:11" x14ac:dyDescent="0.25">
      <c r="D271" s="7" t="str">
        <f t="shared" si="22"/>
        <v/>
      </c>
      <c r="E271" s="6" t="str">
        <f t="shared" si="23"/>
        <v/>
      </c>
      <c r="F271" s="27" t="str">
        <f t="shared" si="24"/>
        <v/>
      </c>
      <c r="G271" t="str">
        <f t="shared" si="25"/>
        <v/>
      </c>
      <c r="H271" t="str">
        <f t="shared" si="26"/>
        <v/>
      </c>
      <c r="K271" s="5"/>
    </row>
    <row r="272" spans="4:11" x14ac:dyDescent="0.25">
      <c r="D272" s="7" t="str">
        <f t="shared" si="22"/>
        <v/>
      </c>
      <c r="E272" s="6" t="str">
        <f t="shared" si="23"/>
        <v/>
      </c>
      <c r="F272" s="27" t="str">
        <f t="shared" si="24"/>
        <v/>
      </c>
      <c r="G272" t="str">
        <f t="shared" si="25"/>
        <v/>
      </c>
      <c r="H272" t="str">
        <f t="shared" si="26"/>
        <v/>
      </c>
      <c r="K272" s="5"/>
    </row>
    <row r="273" spans="4:11" x14ac:dyDescent="0.25">
      <c r="D273" s="7" t="str">
        <f t="shared" si="22"/>
        <v/>
      </c>
      <c r="E273" s="6" t="str">
        <f t="shared" si="23"/>
        <v/>
      </c>
      <c r="F273" s="27" t="str">
        <f t="shared" si="24"/>
        <v/>
      </c>
      <c r="G273" t="str">
        <f t="shared" si="25"/>
        <v/>
      </c>
      <c r="H273" t="str">
        <f t="shared" si="26"/>
        <v/>
      </c>
      <c r="K273" s="5"/>
    </row>
    <row r="274" spans="4:11" x14ac:dyDescent="0.25">
      <c r="D274" s="7" t="str">
        <f t="shared" si="22"/>
        <v/>
      </c>
      <c r="E274" s="6" t="str">
        <f t="shared" si="23"/>
        <v/>
      </c>
      <c r="F274" s="27" t="str">
        <f t="shared" si="24"/>
        <v/>
      </c>
      <c r="G274" t="str">
        <f t="shared" si="25"/>
        <v/>
      </c>
      <c r="H274" t="str">
        <f t="shared" si="26"/>
        <v/>
      </c>
      <c r="K274" s="5"/>
    </row>
    <row r="275" spans="4:11" x14ac:dyDescent="0.25">
      <c r="D275" s="7" t="str">
        <f t="shared" si="22"/>
        <v/>
      </c>
      <c r="E275" s="6" t="str">
        <f t="shared" si="23"/>
        <v/>
      </c>
      <c r="F275" s="27" t="str">
        <f t="shared" si="24"/>
        <v/>
      </c>
      <c r="G275" t="str">
        <f t="shared" si="25"/>
        <v/>
      </c>
      <c r="H275" t="str">
        <f t="shared" si="26"/>
        <v/>
      </c>
      <c r="K275" s="5"/>
    </row>
    <row r="276" spans="4:11" x14ac:dyDescent="0.25">
      <c r="D276" s="7" t="str">
        <f t="shared" si="22"/>
        <v/>
      </c>
      <c r="E276" s="6" t="str">
        <f t="shared" si="23"/>
        <v/>
      </c>
      <c r="F276" s="27" t="str">
        <f t="shared" si="24"/>
        <v/>
      </c>
      <c r="G276" t="str">
        <f t="shared" si="25"/>
        <v/>
      </c>
      <c r="H276" t="str">
        <f t="shared" si="26"/>
        <v/>
      </c>
      <c r="K276" s="5"/>
    </row>
    <row r="277" spans="4:11" x14ac:dyDescent="0.25">
      <c r="D277" s="7" t="str">
        <f t="shared" si="22"/>
        <v/>
      </c>
      <c r="E277" s="6" t="str">
        <f t="shared" si="23"/>
        <v/>
      </c>
      <c r="F277" s="27" t="str">
        <f t="shared" si="24"/>
        <v/>
      </c>
      <c r="G277" t="str">
        <f t="shared" si="25"/>
        <v/>
      </c>
      <c r="H277" t="str">
        <f t="shared" si="26"/>
        <v/>
      </c>
      <c r="K277" s="5"/>
    </row>
    <row r="278" spans="4:11" x14ac:dyDescent="0.25">
      <c r="D278" s="7" t="str">
        <f t="shared" si="22"/>
        <v/>
      </c>
      <c r="E278" s="6" t="str">
        <f t="shared" si="23"/>
        <v/>
      </c>
      <c r="F278" s="27" t="str">
        <f t="shared" si="24"/>
        <v/>
      </c>
      <c r="G278" t="str">
        <f t="shared" si="25"/>
        <v/>
      </c>
      <c r="H278" t="str">
        <f t="shared" si="26"/>
        <v/>
      </c>
      <c r="K278" s="5"/>
    </row>
    <row r="279" spans="4:11" x14ac:dyDescent="0.25">
      <c r="D279" s="7" t="str">
        <f t="shared" si="22"/>
        <v/>
      </c>
      <c r="E279" s="6" t="str">
        <f t="shared" si="23"/>
        <v/>
      </c>
      <c r="F279" s="27" t="str">
        <f t="shared" si="24"/>
        <v/>
      </c>
      <c r="G279" t="str">
        <f t="shared" si="25"/>
        <v/>
      </c>
      <c r="H279" t="str">
        <f t="shared" si="26"/>
        <v/>
      </c>
      <c r="K279" s="5"/>
    </row>
    <row r="280" spans="4:11" x14ac:dyDescent="0.25">
      <c r="D280" s="7" t="str">
        <f t="shared" si="22"/>
        <v/>
      </c>
      <c r="E280" s="6" t="str">
        <f t="shared" si="23"/>
        <v/>
      </c>
      <c r="F280" s="27" t="str">
        <f t="shared" si="24"/>
        <v/>
      </c>
      <c r="G280" t="str">
        <f t="shared" si="25"/>
        <v/>
      </c>
      <c r="H280" t="str">
        <f t="shared" si="26"/>
        <v/>
      </c>
      <c r="K280" s="5"/>
    </row>
    <row r="281" spans="4:11" x14ac:dyDescent="0.25">
      <c r="D281" s="7" t="str">
        <f t="shared" si="22"/>
        <v/>
      </c>
      <c r="E281" s="6" t="str">
        <f t="shared" si="23"/>
        <v/>
      </c>
      <c r="F281" s="27" t="str">
        <f t="shared" si="24"/>
        <v/>
      </c>
      <c r="G281" t="str">
        <f t="shared" si="25"/>
        <v/>
      </c>
      <c r="H281" t="str">
        <f t="shared" si="26"/>
        <v/>
      </c>
      <c r="K281" s="5"/>
    </row>
    <row r="282" spans="4:11" x14ac:dyDescent="0.25">
      <c r="D282" s="7" t="str">
        <f t="shared" si="22"/>
        <v/>
      </c>
      <c r="E282" s="6" t="str">
        <f t="shared" si="23"/>
        <v/>
      </c>
      <c r="F282" s="27" t="str">
        <f t="shared" si="24"/>
        <v/>
      </c>
      <c r="G282" t="str">
        <f t="shared" si="25"/>
        <v/>
      </c>
      <c r="H282" t="str">
        <f t="shared" si="26"/>
        <v/>
      </c>
      <c r="K282" s="5"/>
    </row>
    <row r="283" spans="4:11" x14ac:dyDescent="0.25">
      <c r="D283" s="7" t="str">
        <f t="shared" si="22"/>
        <v/>
      </c>
      <c r="E283" s="6" t="str">
        <f t="shared" si="23"/>
        <v/>
      </c>
      <c r="F283" s="27" t="str">
        <f t="shared" si="24"/>
        <v/>
      </c>
      <c r="G283" t="str">
        <f t="shared" si="25"/>
        <v/>
      </c>
      <c r="H283" t="str">
        <f t="shared" si="26"/>
        <v/>
      </c>
      <c r="K283" s="5"/>
    </row>
    <row r="284" spans="4:11" x14ac:dyDescent="0.25">
      <c r="D284" s="7" t="str">
        <f t="shared" si="22"/>
        <v/>
      </c>
      <c r="E284" s="6" t="str">
        <f t="shared" si="23"/>
        <v/>
      </c>
      <c r="F284" s="27" t="str">
        <f t="shared" si="24"/>
        <v/>
      </c>
      <c r="G284" t="str">
        <f t="shared" si="25"/>
        <v/>
      </c>
      <c r="H284" t="str">
        <f t="shared" si="26"/>
        <v/>
      </c>
      <c r="K284" s="5"/>
    </row>
    <row r="285" spans="4:11" x14ac:dyDescent="0.25">
      <c r="D285" s="7" t="str">
        <f t="shared" si="22"/>
        <v/>
      </c>
      <c r="E285" s="6" t="str">
        <f t="shared" si="23"/>
        <v/>
      </c>
      <c r="F285" s="27" t="str">
        <f t="shared" si="24"/>
        <v/>
      </c>
      <c r="G285" t="str">
        <f t="shared" si="25"/>
        <v/>
      </c>
      <c r="H285" t="str">
        <f t="shared" si="26"/>
        <v/>
      </c>
      <c r="K285" s="5"/>
    </row>
    <row r="286" spans="4:11" x14ac:dyDescent="0.25">
      <c r="D286" s="7" t="str">
        <f t="shared" si="22"/>
        <v/>
      </c>
      <c r="E286" s="6" t="str">
        <f t="shared" si="23"/>
        <v/>
      </c>
      <c r="F286" s="27" t="str">
        <f t="shared" si="24"/>
        <v/>
      </c>
      <c r="G286" t="str">
        <f t="shared" si="25"/>
        <v/>
      </c>
      <c r="H286" t="str">
        <f t="shared" si="26"/>
        <v/>
      </c>
      <c r="K286" s="5"/>
    </row>
    <row r="287" spans="4:11" x14ac:dyDescent="0.25">
      <c r="D287" s="7" t="str">
        <f t="shared" si="22"/>
        <v/>
      </c>
      <c r="E287" s="6" t="str">
        <f t="shared" si="23"/>
        <v/>
      </c>
      <c r="F287" s="27" t="str">
        <f t="shared" si="24"/>
        <v/>
      </c>
      <c r="G287" t="str">
        <f t="shared" si="25"/>
        <v/>
      </c>
      <c r="H287" t="str">
        <f t="shared" si="26"/>
        <v/>
      </c>
      <c r="K287" s="5"/>
    </row>
    <row r="288" spans="4:11" x14ac:dyDescent="0.25">
      <c r="D288" s="7" t="str">
        <f t="shared" si="22"/>
        <v/>
      </c>
      <c r="E288" s="6" t="str">
        <f t="shared" si="23"/>
        <v/>
      </c>
      <c r="F288" s="27" t="str">
        <f t="shared" si="24"/>
        <v/>
      </c>
      <c r="G288" t="str">
        <f t="shared" si="25"/>
        <v/>
      </c>
      <c r="H288" t="str">
        <f t="shared" si="26"/>
        <v/>
      </c>
      <c r="K288" s="5"/>
    </row>
    <row r="289" spans="4:11" x14ac:dyDescent="0.25">
      <c r="D289" s="7" t="str">
        <f t="shared" si="22"/>
        <v/>
      </c>
      <c r="E289" s="6" t="str">
        <f t="shared" si="23"/>
        <v/>
      </c>
      <c r="F289" s="27" t="str">
        <f t="shared" si="24"/>
        <v/>
      </c>
      <c r="G289" t="str">
        <f t="shared" si="25"/>
        <v/>
      </c>
      <c r="H289" t="str">
        <f t="shared" si="26"/>
        <v/>
      </c>
      <c r="K289" s="5"/>
    </row>
    <row r="290" spans="4:11" x14ac:dyDescent="0.25">
      <c r="D290" s="7" t="str">
        <f t="shared" si="22"/>
        <v/>
      </c>
      <c r="E290" s="6" t="str">
        <f t="shared" si="23"/>
        <v/>
      </c>
      <c r="F290" s="27" t="str">
        <f t="shared" si="24"/>
        <v/>
      </c>
      <c r="G290" t="str">
        <f t="shared" si="25"/>
        <v/>
      </c>
      <c r="H290" t="str">
        <f t="shared" si="26"/>
        <v/>
      </c>
      <c r="K290" s="5"/>
    </row>
    <row r="291" spans="4:11" x14ac:dyDescent="0.25">
      <c r="D291" s="7" t="str">
        <f t="shared" si="22"/>
        <v/>
      </c>
      <c r="E291" s="6" t="str">
        <f t="shared" si="23"/>
        <v/>
      </c>
      <c r="F291" s="27" t="str">
        <f t="shared" si="24"/>
        <v/>
      </c>
      <c r="G291" t="str">
        <f t="shared" si="25"/>
        <v/>
      </c>
      <c r="H291" t="str">
        <f t="shared" si="26"/>
        <v/>
      </c>
      <c r="K291" s="5"/>
    </row>
    <row r="292" spans="4:11" x14ac:dyDescent="0.25">
      <c r="D292" s="7" t="str">
        <f t="shared" si="22"/>
        <v/>
      </c>
      <c r="E292" s="6" t="str">
        <f t="shared" si="23"/>
        <v/>
      </c>
      <c r="F292" s="27" t="str">
        <f t="shared" si="24"/>
        <v/>
      </c>
      <c r="G292" t="str">
        <f t="shared" si="25"/>
        <v/>
      </c>
      <c r="H292" t="str">
        <f t="shared" si="26"/>
        <v/>
      </c>
      <c r="K292" s="5"/>
    </row>
    <row r="293" spans="4:11" x14ac:dyDescent="0.25">
      <c r="D293" s="7" t="str">
        <f t="shared" si="22"/>
        <v/>
      </c>
      <c r="E293" s="6" t="str">
        <f t="shared" si="23"/>
        <v/>
      </c>
      <c r="F293" s="27" t="str">
        <f t="shared" si="24"/>
        <v/>
      </c>
      <c r="G293" t="str">
        <f t="shared" si="25"/>
        <v/>
      </c>
      <c r="H293" t="str">
        <f t="shared" si="26"/>
        <v/>
      </c>
      <c r="K293" s="5"/>
    </row>
    <row r="294" spans="4:11" x14ac:dyDescent="0.25">
      <c r="D294" s="7" t="str">
        <f t="shared" si="22"/>
        <v/>
      </c>
      <c r="E294" s="6" t="str">
        <f t="shared" si="23"/>
        <v/>
      </c>
      <c r="F294" s="27" t="str">
        <f t="shared" si="24"/>
        <v/>
      </c>
      <c r="G294" t="str">
        <f t="shared" si="25"/>
        <v/>
      </c>
      <c r="H294" t="str">
        <f t="shared" si="26"/>
        <v/>
      </c>
      <c r="K294" s="5"/>
    </row>
    <row r="295" spans="4:11" x14ac:dyDescent="0.25">
      <c r="D295" s="7" t="str">
        <f t="shared" si="22"/>
        <v/>
      </c>
      <c r="E295" s="6" t="str">
        <f t="shared" si="23"/>
        <v/>
      </c>
      <c r="F295" s="27" t="str">
        <f t="shared" si="24"/>
        <v/>
      </c>
      <c r="G295" t="str">
        <f t="shared" si="25"/>
        <v/>
      </c>
      <c r="H295" t="str">
        <f t="shared" si="26"/>
        <v/>
      </c>
      <c r="K295" s="5"/>
    </row>
    <row r="296" spans="4:11" x14ac:dyDescent="0.25">
      <c r="D296" s="7" t="str">
        <f t="shared" si="22"/>
        <v/>
      </c>
      <c r="E296" s="6" t="str">
        <f t="shared" si="23"/>
        <v/>
      </c>
      <c r="F296" s="27" t="str">
        <f t="shared" si="24"/>
        <v/>
      </c>
      <c r="G296" t="str">
        <f t="shared" si="25"/>
        <v/>
      </c>
      <c r="H296" t="str">
        <f t="shared" si="26"/>
        <v/>
      </c>
      <c r="K296" s="5"/>
    </row>
    <row r="297" spans="4:11" x14ac:dyDescent="0.25">
      <c r="D297" s="7" t="str">
        <f t="shared" si="22"/>
        <v/>
      </c>
      <c r="E297" s="6" t="str">
        <f t="shared" si="23"/>
        <v/>
      </c>
      <c r="F297" s="27" t="str">
        <f t="shared" si="24"/>
        <v/>
      </c>
      <c r="G297" t="str">
        <f t="shared" si="25"/>
        <v/>
      </c>
      <c r="H297" t="str">
        <f t="shared" si="26"/>
        <v/>
      </c>
      <c r="K297" s="5"/>
    </row>
    <row r="298" spans="4:11" x14ac:dyDescent="0.25">
      <c r="D298" s="7" t="str">
        <f t="shared" si="22"/>
        <v/>
      </c>
      <c r="E298" s="6" t="str">
        <f t="shared" si="23"/>
        <v/>
      </c>
      <c r="F298" s="27" t="str">
        <f t="shared" si="24"/>
        <v/>
      </c>
      <c r="G298" t="str">
        <f t="shared" si="25"/>
        <v/>
      </c>
      <c r="H298" t="str">
        <f t="shared" si="26"/>
        <v/>
      </c>
      <c r="K298" s="5"/>
    </row>
    <row r="299" spans="4:11" x14ac:dyDescent="0.25">
      <c r="D299" s="7" t="str">
        <f t="shared" si="22"/>
        <v/>
      </c>
      <c r="E299" s="6" t="str">
        <f t="shared" si="23"/>
        <v/>
      </c>
      <c r="F299" s="27" t="str">
        <f t="shared" si="24"/>
        <v/>
      </c>
      <c r="G299" t="str">
        <f t="shared" si="25"/>
        <v/>
      </c>
      <c r="H299" t="str">
        <f t="shared" si="26"/>
        <v/>
      </c>
      <c r="K299" s="5"/>
    </row>
    <row r="300" spans="4:11" x14ac:dyDescent="0.25">
      <c r="D300" s="7" t="str">
        <f t="shared" si="22"/>
        <v/>
      </c>
      <c r="E300" s="6" t="str">
        <f t="shared" si="23"/>
        <v/>
      </c>
      <c r="F300" s="27" t="str">
        <f t="shared" si="24"/>
        <v/>
      </c>
      <c r="G300" t="str">
        <f t="shared" si="25"/>
        <v/>
      </c>
      <c r="H300" t="str">
        <f t="shared" si="26"/>
        <v/>
      </c>
      <c r="K300" s="5"/>
    </row>
    <row r="301" spans="4:11" x14ac:dyDescent="0.25">
      <c r="D301" s="7" t="str">
        <f t="shared" si="22"/>
        <v/>
      </c>
      <c r="E301" s="6" t="str">
        <f t="shared" si="23"/>
        <v/>
      </c>
      <c r="F301" s="27" t="str">
        <f t="shared" si="24"/>
        <v/>
      </c>
      <c r="G301" t="str">
        <f t="shared" si="25"/>
        <v/>
      </c>
      <c r="H301" t="str">
        <f t="shared" si="26"/>
        <v/>
      </c>
      <c r="K301" s="5"/>
    </row>
    <row r="302" spans="4:11" x14ac:dyDescent="0.25">
      <c r="D302" s="7" t="str">
        <f t="shared" si="22"/>
        <v/>
      </c>
      <c r="E302" s="6" t="str">
        <f t="shared" si="23"/>
        <v/>
      </c>
      <c r="F302" s="27" t="str">
        <f t="shared" si="24"/>
        <v/>
      </c>
      <c r="G302" t="str">
        <f t="shared" si="25"/>
        <v/>
      </c>
      <c r="H302" t="str">
        <f t="shared" si="26"/>
        <v/>
      </c>
      <c r="K302" s="5"/>
    </row>
    <row r="303" spans="4:11" x14ac:dyDescent="0.25">
      <c r="D303" s="7" t="str">
        <f t="shared" si="22"/>
        <v/>
      </c>
      <c r="E303" s="6" t="str">
        <f t="shared" si="23"/>
        <v/>
      </c>
      <c r="F303" s="27" t="str">
        <f t="shared" si="24"/>
        <v/>
      </c>
      <c r="G303" t="str">
        <f t="shared" si="25"/>
        <v/>
      </c>
      <c r="H303" t="str">
        <f t="shared" si="26"/>
        <v/>
      </c>
      <c r="K303" s="5"/>
    </row>
    <row r="304" spans="4:11" x14ac:dyDescent="0.25">
      <c r="D304" s="7" t="str">
        <f t="shared" si="22"/>
        <v/>
      </c>
      <c r="E304" s="6" t="str">
        <f t="shared" si="23"/>
        <v/>
      </c>
      <c r="F304" s="27" t="str">
        <f t="shared" si="24"/>
        <v/>
      </c>
      <c r="G304" t="str">
        <f t="shared" si="25"/>
        <v/>
      </c>
      <c r="H304" t="str">
        <f t="shared" si="26"/>
        <v/>
      </c>
      <c r="K304" s="5"/>
    </row>
    <row r="305" spans="4:11" x14ac:dyDescent="0.25">
      <c r="D305" s="7" t="str">
        <f t="shared" si="22"/>
        <v/>
      </c>
      <c r="E305" s="6" t="str">
        <f t="shared" si="23"/>
        <v/>
      </c>
      <c r="F305" s="27" t="str">
        <f t="shared" si="24"/>
        <v/>
      </c>
      <c r="G305" t="str">
        <f t="shared" si="25"/>
        <v/>
      </c>
      <c r="H305" t="str">
        <f t="shared" si="26"/>
        <v/>
      </c>
      <c r="K305" s="5"/>
    </row>
    <row r="306" spans="4:11" x14ac:dyDescent="0.25">
      <c r="D306" s="7" t="str">
        <f t="shared" si="22"/>
        <v/>
      </c>
      <c r="E306" s="6" t="str">
        <f t="shared" si="23"/>
        <v/>
      </c>
      <c r="F306" s="27" t="str">
        <f t="shared" si="24"/>
        <v/>
      </c>
      <c r="G306" t="str">
        <f t="shared" si="25"/>
        <v/>
      </c>
      <c r="H306" t="str">
        <f t="shared" si="26"/>
        <v/>
      </c>
      <c r="K306" s="5"/>
    </row>
    <row r="307" spans="4:11" x14ac:dyDescent="0.25">
      <c r="D307" s="7" t="str">
        <f t="shared" si="22"/>
        <v/>
      </c>
      <c r="E307" s="6" t="str">
        <f t="shared" si="23"/>
        <v/>
      </c>
      <c r="F307" s="27" t="str">
        <f t="shared" si="24"/>
        <v/>
      </c>
      <c r="G307" t="str">
        <f t="shared" si="25"/>
        <v/>
      </c>
      <c r="H307" t="str">
        <f t="shared" si="26"/>
        <v/>
      </c>
      <c r="K307" s="5"/>
    </row>
    <row r="308" spans="4:11" x14ac:dyDescent="0.25">
      <c r="D308" s="7" t="str">
        <f t="shared" si="22"/>
        <v/>
      </c>
      <c r="E308" s="6" t="str">
        <f t="shared" si="23"/>
        <v/>
      </c>
      <c r="F308" s="27" t="str">
        <f t="shared" si="24"/>
        <v/>
      </c>
      <c r="G308" t="str">
        <f t="shared" si="25"/>
        <v/>
      </c>
      <c r="H308" t="str">
        <f t="shared" si="26"/>
        <v/>
      </c>
      <c r="K308" s="5"/>
    </row>
    <row r="309" spans="4:11" x14ac:dyDescent="0.25">
      <c r="D309" s="7" t="str">
        <f t="shared" si="22"/>
        <v/>
      </c>
      <c r="E309" s="6" t="str">
        <f t="shared" si="23"/>
        <v/>
      </c>
      <c r="F309" s="27" t="str">
        <f t="shared" si="24"/>
        <v/>
      </c>
      <c r="G309" t="str">
        <f t="shared" si="25"/>
        <v/>
      </c>
      <c r="H309" t="str">
        <f t="shared" si="26"/>
        <v/>
      </c>
      <c r="K309" s="5"/>
    </row>
    <row r="310" spans="4:11" x14ac:dyDescent="0.25">
      <c r="D310" s="7" t="str">
        <f t="shared" si="22"/>
        <v/>
      </c>
      <c r="E310" s="6" t="str">
        <f t="shared" si="23"/>
        <v/>
      </c>
      <c r="F310" s="27" t="str">
        <f t="shared" si="24"/>
        <v/>
      </c>
      <c r="G310" t="str">
        <f t="shared" si="25"/>
        <v/>
      </c>
      <c r="H310" t="str">
        <f t="shared" si="26"/>
        <v/>
      </c>
      <c r="K310" s="5"/>
    </row>
    <row r="311" spans="4:11" x14ac:dyDescent="0.25">
      <c r="D311" s="7" t="str">
        <f t="shared" si="22"/>
        <v/>
      </c>
      <c r="E311" s="6" t="str">
        <f t="shared" si="23"/>
        <v/>
      </c>
      <c r="F311" s="27" t="str">
        <f t="shared" si="24"/>
        <v/>
      </c>
      <c r="G311" t="str">
        <f t="shared" si="25"/>
        <v/>
      </c>
      <c r="H311" t="str">
        <f t="shared" si="26"/>
        <v/>
      </c>
      <c r="K311" s="5"/>
    </row>
    <row r="312" spans="4:11" x14ac:dyDescent="0.25">
      <c r="D312" s="7" t="str">
        <f t="shared" si="22"/>
        <v/>
      </c>
      <c r="E312" s="6" t="str">
        <f t="shared" si="23"/>
        <v/>
      </c>
      <c r="F312" s="27" t="str">
        <f t="shared" si="24"/>
        <v/>
      </c>
      <c r="G312" t="str">
        <f t="shared" si="25"/>
        <v/>
      </c>
      <c r="H312" t="str">
        <f t="shared" si="26"/>
        <v/>
      </c>
      <c r="K312" s="5"/>
    </row>
    <row r="313" spans="4:11" x14ac:dyDescent="0.25">
      <c r="D313" s="7" t="str">
        <f t="shared" si="22"/>
        <v/>
      </c>
      <c r="E313" s="6" t="str">
        <f t="shared" si="23"/>
        <v/>
      </c>
      <c r="F313" s="27" t="str">
        <f t="shared" si="24"/>
        <v/>
      </c>
      <c r="G313" t="str">
        <f t="shared" si="25"/>
        <v/>
      </c>
      <c r="H313" t="str">
        <f t="shared" si="26"/>
        <v/>
      </c>
      <c r="K313" s="5"/>
    </row>
    <row r="314" spans="4:11" x14ac:dyDescent="0.25">
      <c r="D314" s="7" t="str">
        <f t="shared" si="22"/>
        <v/>
      </c>
      <c r="E314" s="6" t="str">
        <f t="shared" si="23"/>
        <v/>
      </c>
      <c r="F314" s="27" t="str">
        <f t="shared" si="24"/>
        <v/>
      </c>
      <c r="G314" t="str">
        <f t="shared" si="25"/>
        <v/>
      </c>
      <c r="H314" t="str">
        <f t="shared" si="26"/>
        <v/>
      </c>
      <c r="K314" s="5"/>
    </row>
    <row r="315" spans="4:11" x14ac:dyDescent="0.25">
      <c r="D315" s="7" t="str">
        <f t="shared" si="22"/>
        <v/>
      </c>
      <c r="E315" s="6" t="str">
        <f t="shared" si="23"/>
        <v/>
      </c>
      <c r="F315" s="27" t="str">
        <f t="shared" si="24"/>
        <v/>
      </c>
      <c r="G315" t="str">
        <f t="shared" si="25"/>
        <v/>
      </c>
      <c r="H315" t="str">
        <f t="shared" si="26"/>
        <v/>
      </c>
      <c r="K315" s="5"/>
    </row>
    <row r="316" spans="4:11" x14ac:dyDescent="0.25">
      <c r="D316" s="7" t="str">
        <f t="shared" si="22"/>
        <v/>
      </c>
      <c r="E316" s="6" t="str">
        <f t="shared" si="23"/>
        <v/>
      </c>
      <c r="F316" s="27" t="str">
        <f t="shared" si="24"/>
        <v/>
      </c>
      <c r="G316" t="str">
        <f t="shared" si="25"/>
        <v/>
      </c>
      <c r="H316" t="str">
        <f t="shared" si="26"/>
        <v/>
      </c>
      <c r="K316" s="5"/>
    </row>
    <row r="317" spans="4:11" x14ac:dyDescent="0.25">
      <c r="D317" s="7" t="str">
        <f t="shared" si="22"/>
        <v/>
      </c>
      <c r="E317" s="6" t="str">
        <f t="shared" si="23"/>
        <v/>
      </c>
      <c r="F317" s="27" t="str">
        <f t="shared" si="24"/>
        <v/>
      </c>
      <c r="G317" t="str">
        <f t="shared" si="25"/>
        <v/>
      </c>
      <c r="H317" t="str">
        <f t="shared" si="26"/>
        <v/>
      </c>
      <c r="K317" s="5"/>
    </row>
    <row r="318" spans="4:11" x14ac:dyDescent="0.25">
      <c r="D318" s="7" t="str">
        <f t="shared" si="22"/>
        <v/>
      </c>
      <c r="E318" s="6" t="str">
        <f t="shared" si="23"/>
        <v/>
      </c>
      <c r="F318" s="27" t="str">
        <f t="shared" si="24"/>
        <v/>
      </c>
      <c r="G318" t="str">
        <f t="shared" si="25"/>
        <v/>
      </c>
      <c r="H318" t="str">
        <f t="shared" si="26"/>
        <v/>
      </c>
      <c r="K318" s="5"/>
    </row>
    <row r="319" spans="4:11" x14ac:dyDescent="0.25">
      <c r="D319" s="7" t="str">
        <f t="shared" si="22"/>
        <v/>
      </c>
      <c r="E319" s="6" t="str">
        <f t="shared" si="23"/>
        <v/>
      </c>
      <c r="F319" s="27" t="str">
        <f t="shared" si="24"/>
        <v/>
      </c>
      <c r="G319" t="str">
        <f t="shared" si="25"/>
        <v/>
      </c>
      <c r="H319" t="str">
        <f t="shared" si="26"/>
        <v/>
      </c>
      <c r="K319" s="5"/>
    </row>
    <row r="320" spans="4:11" x14ac:dyDescent="0.25">
      <c r="D320" s="7" t="str">
        <f t="shared" si="22"/>
        <v/>
      </c>
      <c r="E320" s="6" t="str">
        <f t="shared" si="23"/>
        <v/>
      </c>
      <c r="F320" s="27" t="str">
        <f t="shared" si="24"/>
        <v/>
      </c>
      <c r="G320" t="str">
        <f t="shared" si="25"/>
        <v/>
      </c>
      <c r="H320" t="str">
        <f t="shared" si="26"/>
        <v/>
      </c>
      <c r="K320" s="5"/>
    </row>
    <row r="321" spans="4:11" x14ac:dyDescent="0.25">
      <c r="D321" s="7" t="str">
        <f t="shared" si="22"/>
        <v/>
      </c>
      <c r="E321" s="6" t="str">
        <f t="shared" si="23"/>
        <v/>
      </c>
      <c r="F321" s="27" t="str">
        <f t="shared" si="24"/>
        <v/>
      </c>
      <c r="G321" t="str">
        <f t="shared" si="25"/>
        <v/>
      </c>
      <c r="H321" t="str">
        <f t="shared" si="26"/>
        <v/>
      </c>
      <c r="K321" s="5"/>
    </row>
    <row r="322" spans="4:11" x14ac:dyDescent="0.25">
      <c r="D322" s="7" t="str">
        <f t="shared" ref="D322:D342" si="27">IF(K322&lt;&gt;"",1+INT((K322-(DATE(YEAR(K322),1,2)-WEEKDAY(DATE(YEAR(K322),1,1))))/7),"")</f>
        <v/>
      </c>
      <c r="E322" s="6" t="str">
        <f t="shared" ref="E322:E342" si="28">IF(K322&lt;&gt;"",TEXT(K322,"ddd"),"")</f>
        <v/>
      </c>
      <c r="F322" s="27" t="str">
        <f t="shared" ref="F322:F342" si="29">IF(K322&lt;&gt;"",MONTH(K322),"")</f>
        <v/>
      </c>
      <c r="G322" t="str">
        <f t="shared" ref="G322:G342" si="30">IF(K322&lt;&gt;"",DAY(K322),"")</f>
        <v/>
      </c>
      <c r="H322" t="str">
        <f t="shared" ref="H322:H342" si="31">IF(K322&lt;&gt;"",YEAR(K322),"")</f>
        <v/>
      </c>
      <c r="K322" s="5"/>
    </row>
    <row r="323" spans="4:11" x14ac:dyDescent="0.25">
      <c r="D323" s="7" t="str">
        <f t="shared" si="27"/>
        <v/>
      </c>
      <c r="E323" s="6" t="str">
        <f t="shared" si="28"/>
        <v/>
      </c>
      <c r="F323" s="27" t="str">
        <f t="shared" si="29"/>
        <v/>
      </c>
      <c r="G323" t="str">
        <f t="shared" si="30"/>
        <v/>
      </c>
      <c r="H323" t="str">
        <f t="shared" si="31"/>
        <v/>
      </c>
      <c r="K323" s="5"/>
    </row>
    <row r="324" spans="4:11" x14ac:dyDescent="0.25">
      <c r="D324" s="7" t="str">
        <f t="shared" si="27"/>
        <v/>
      </c>
      <c r="E324" s="6" t="str">
        <f t="shared" si="28"/>
        <v/>
      </c>
      <c r="F324" s="27" t="str">
        <f t="shared" si="29"/>
        <v/>
      </c>
      <c r="G324" t="str">
        <f t="shared" si="30"/>
        <v/>
      </c>
      <c r="H324" t="str">
        <f t="shared" si="31"/>
        <v/>
      </c>
      <c r="K324" s="5"/>
    </row>
    <row r="325" spans="4:11" x14ac:dyDescent="0.25">
      <c r="D325" s="7" t="str">
        <f t="shared" si="27"/>
        <v/>
      </c>
      <c r="E325" s="6" t="str">
        <f t="shared" si="28"/>
        <v/>
      </c>
      <c r="F325" s="27" t="str">
        <f t="shared" si="29"/>
        <v/>
      </c>
      <c r="G325" t="str">
        <f t="shared" si="30"/>
        <v/>
      </c>
      <c r="H325" t="str">
        <f t="shared" si="31"/>
        <v/>
      </c>
      <c r="K325" s="5"/>
    </row>
    <row r="326" spans="4:11" x14ac:dyDescent="0.25">
      <c r="D326" s="7" t="str">
        <f t="shared" si="27"/>
        <v/>
      </c>
      <c r="E326" s="6" t="str">
        <f t="shared" si="28"/>
        <v/>
      </c>
      <c r="F326" s="27" t="str">
        <f t="shared" si="29"/>
        <v/>
      </c>
      <c r="G326" t="str">
        <f t="shared" si="30"/>
        <v/>
      </c>
      <c r="H326" t="str">
        <f t="shared" si="31"/>
        <v/>
      </c>
      <c r="K326" s="5"/>
    </row>
    <row r="327" spans="4:11" x14ac:dyDescent="0.25">
      <c r="D327" s="7" t="str">
        <f t="shared" si="27"/>
        <v/>
      </c>
      <c r="E327" s="6" t="str">
        <f t="shared" si="28"/>
        <v/>
      </c>
      <c r="F327" s="27" t="str">
        <f t="shared" si="29"/>
        <v/>
      </c>
      <c r="G327" t="str">
        <f t="shared" si="30"/>
        <v/>
      </c>
      <c r="H327" t="str">
        <f t="shared" si="31"/>
        <v/>
      </c>
      <c r="K327" s="5"/>
    </row>
    <row r="328" spans="4:11" x14ac:dyDescent="0.25">
      <c r="D328" s="7" t="str">
        <f t="shared" si="27"/>
        <v/>
      </c>
      <c r="E328" s="6" t="str">
        <f t="shared" si="28"/>
        <v/>
      </c>
      <c r="F328" s="27" t="str">
        <f t="shared" si="29"/>
        <v/>
      </c>
      <c r="G328" t="str">
        <f t="shared" si="30"/>
        <v/>
      </c>
      <c r="H328" t="str">
        <f t="shared" si="31"/>
        <v/>
      </c>
      <c r="K328" s="5"/>
    </row>
    <row r="329" spans="4:11" x14ac:dyDescent="0.25">
      <c r="D329" s="7" t="str">
        <f t="shared" si="27"/>
        <v/>
      </c>
      <c r="E329" s="6" t="str">
        <f t="shared" si="28"/>
        <v/>
      </c>
      <c r="F329" s="27" t="str">
        <f t="shared" si="29"/>
        <v/>
      </c>
      <c r="G329" t="str">
        <f t="shared" si="30"/>
        <v/>
      </c>
      <c r="H329" t="str">
        <f t="shared" si="31"/>
        <v/>
      </c>
      <c r="K329" s="5"/>
    </row>
    <row r="330" spans="4:11" x14ac:dyDescent="0.25">
      <c r="D330" s="7" t="str">
        <f t="shared" si="27"/>
        <v/>
      </c>
      <c r="E330" s="6" t="str">
        <f t="shared" si="28"/>
        <v/>
      </c>
      <c r="F330" s="27" t="str">
        <f t="shared" si="29"/>
        <v/>
      </c>
      <c r="G330" t="str">
        <f t="shared" si="30"/>
        <v/>
      </c>
      <c r="H330" t="str">
        <f t="shared" si="31"/>
        <v/>
      </c>
      <c r="K330" s="5"/>
    </row>
    <row r="331" spans="4:11" x14ac:dyDescent="0.25">
      <c r="D331" s="7" t="str">
        <f t="shared" si="27"/>
        <v/>
      </c>
      <c r="E331" s="6" t="str">
        <f t="shared" si="28"/>
        <v/>
      </c>
      <c r="F331" s="27" t="str">
        <f t="shared" si="29"/>
        <v/>
      </c>
      <c r="G331" t="str">
        <f t="shared" si="30"/>
        <v/>
      </c>
      <c r="H331" t="str">
        <f t="shared" si="31"/>
        <v/>
      </c>
      <c r="K331" s="5"/>
    </row>
    <row r="332" spans="4:11" x14ac:dyDescent="0.25">
      <c r="D332" s="7" t="str">
        <f t="shared" si="27"/>
        <v/>
      </c>
      <c r="E332" s="6" t="str">
        <f t="shared" si="28"/>
        <v/>
      </c>
      <c r="F332" s="27" t="str">
        <f t="shared" si="29"/>
        <v/>
      </c>
      <c r="G332" t="str">
        <f t="shared" si="30"/>
        <v/>
      </c>
      <c r="H332" t="str">
        <f t="shared" si="31"/>
        <v/>
      </c>
      <c r="K332" s="5"/>
    </row>
    <row r="333" spans="4:11" x14ac:dyDescent="0.25">
      <c r="D333" s="7" t="str">
        <f t="shared" si="27"/>
        <v/>
      </c>
      <c r="E333" s="6" t="str">
        <f t="shared" si="28"/>
        <v/>
      </c>
      <c r="F333" s="27" t="str">
        <f t="shared" si="29"/>
        <v/>
      </c>
      <c r="G333" t="str">
        <f t="shared" si="30"/>
        <v/>
      </c>
      <c r="H333" t="str">
        <f t="shared" si="31"/>
        <v/>
      </c>
      <c r="K333" s="5"/>
    </row>
    <row r="334" spans="4:11" x14ac:dyDescent="0.25">
      <c r="D334" s="7" t="str">
        <f t="shared" si="27"/>
        <v/>
      </c>
      <c r="E334" s="6" t="str">
        <f t="shared" si="28"/>
        <v/>
      </c>
      <c r="F334" s="27" t="str">
        <f t="shared" si="29"/>
        <v/>
      </c>
      <c r="G334" t="str">
        <f t="shared" si="30"/>
        <v/>
      </c>
      <c r="H334" t="str">
        <f t="shared" si="31"/>
        <v/>
      </c>
      <c r="K334" s="5"/>
    </row>
    <row r="335" spans="4:11" x14ac:dyDescent="0.25">
      <c r="D335" s="7" t="str">
        <f t="shared" si="27"/>
        <v/>
      </c>
      <c r="E335" s="6" t="str">
        <f t="shared" si="28"/>
        <v/>
      </c>
      <c r="F335" s="27" t="str">
        <f t="shared" si="29"/>
        <v/>
      </c>
      <c r="G335" t="str">
        <f t="shared" si="30"/>
        <v/>
      </c>
      <c r="H335" t="str">
        <f t="shared" si="31"/>
        <v/>
      </c>
      <c r="K335" s="5"/>
    </row>
    <row r="336" spans="4:11" x14ac:dyDescent="0.25">
      <c r="D336" s="7" t="str">
        <f t="shared" si="27"/>
        <v/>
      </c>
      <c r="E336" s="6" t="str">
        <f t="shared" si="28"/>
        <v/>
      </c>
      <c r="F336" s="27" t="str">
        <f t="shared" si="29"/>
        <v/>
      </c>
      <c r="G336" t="str">
        <f t="shared" si="30"/>
        <v/>
      </c>
      <c r="H336" t="str">
        <f t="shared" si="31"/>
        <v/>
      </c>
      <c r="K336" s="5"/>
    </row>
    <row r="337" spans="4:11" x14ac:dyDescent="0.25">
      <c r="D337" s="7" t="str">
        <f t="shared" si="27"/>
        <v/>
      </c>
      <c r="E337" s="6" t="str">
        <f t="shared" si="28"/>
        <v/>
      </c>
      <c r="F337" s="27" t="str">
        <f t="shared" si="29"/>
        <v/>
      </c>
      <c r="G337" t="str">
        <f t="shared" si="30"/>
        <v/>
      </c>
      <c r="H337" t="str">
        <f t="shared" si="31"/>
        <v/>
      </c>
      <c r="K337" s="5"/>
    </row>
    <row r="338" spans="4:11" x14ac:dyDescent="0.25">
      <c r="D338" s="7" t="str">
        <f t="shared" si="27"/>
        <v/>
      </c>
      <c r="E338" s="6" t="str">
        <f t="shared" si="28"/>
        <v/>
      </c>
      <c r="F338" s="27" t="str">
        <f t="shared" si="29"/>
        <v/>
      </c>
      <c r="G338" t="str">
        <f t="shared" si="30"/>
        <v/>
      </c>
      <c r="H338" t="str">
        <f t="shared" si="31"/>
        <v/>
      </c>
      <c r="K338" s="5"/>
    </row>
    <row r="339" spans="4:11" x14ac:dyDescent="0.25">
      <c r="D339" s="7" t="str">
        <f t="shared" si="27"/>
        <v/>
      </c>
      <c r="E339" s="6" t="str">
        <f t="shared" si="28"/>
        <v/>
      </c>
      <c r="F339" s="27" t="str">
        <f t="shared" si="29"/>
        <v/>
      </c>
      <c r="G339" t="str">
        <f t="shared" si="30"/>
        <v/>
      </c>
      <c r="H339" t="str">
        <f t="shared" si="31"/>
        <v/>
      </c>
      <c r="K339" s="5"/>
    </row>
    <row r="340" spans="4:11" x14ac:dyDescent="0.25">
      <c r="D340" s="7" t="str">
        <f t="shared" si="27"/>
        <v/>
      </c>
      <c r="E340" s="6" t="str">
        <f t="shared" si="28"/>
        <v/>
      </c>
      <c r="F340" s="27" t="str">
        <f t="shared" si="29"/>
        <v/>
      </c>
      <c r="G340" t="str">
        <f t="shared" si="30"/>
        <v/>
      </c>
      <c r="H340" t="str">
        <f t="shared" si="31"/>
        <v/>
      </c>
      <c r="K340" s="5"/>
    </row>
    <row r="341" spans="4:11" x14ac:dyDescent="0.25">
      <c r="D341" s="7" t="str">
        <f t="shared" si="27"/>
        <v/>
      </c>
      <c r="E341" s="6" t="str">
        <f t="shared" si="28"/>
        <v/>
      </c>
      <c r="F341" s="27" t="str">
        <f t="shared" si="29"/>
        <v/>
      </c>
      <c r="G341" t="str">
        <f t="shared" si="30"/>
        <v/>
      </c>
      <c r="H341" t="str">
        <f t="shared" si="31"/>
        <v/>
      </c>
      <c r="K341" s="5"/>
    </row>
    <row r="342" spans="4:11" x14ac:dyDescent="0.25">
      <c r="D342" s="7" t="str">
        <f t="shared" si="27"/>
        <v/>
      </c>
      <c r="E342" s="6" t="str">
        <f t="shared" si="28"/>
        <v/>
      </c>
      <c r="F342" s="27" t="str">
        <f t="shared" si="29"/>
        <v/>
      </c>
      <c r="G342" t="str">
        <f t="shared" si="30"/>
        <v/>
      </c>
      <c r="H342" t="str">
        <f t="shared" si="31"/>
        <v/>
      </c>
      <c r="K342" s="5"/>
    </row>
    <row r="343" spans="4:11" x14ac:dyDescent="0.25">
      <c r="D343" s="7" t="str">
        <f t="shared" ref="D343:D348" si="32">IF(K343&lt;&gt;"",1+INT((K343-(DATE(YEAR(K343),1,2)-WEEKDAY(DATE(YEAR(K343),1,1))))/7),"")</f>
        <v/>
      </c>
      <c r="E343" s="6" t="str">
        <f t="shared" ref="E343:E348" si="33">IF(K343&lt;&gt;"",TEXT(K343,"ddd"),"")</f>
        <v/>
      </c>
      <c r="F343" s="27" t="str">
        <f t="shared" ref="F343:F348" si="34">IF(K343&lt;&gt;"",MONTH(K343),"")</f>
        <v/>
      </c>
      <c r="G343" t="str">
        <f t="shared" ref="G343:G348" si="35">IF(K343&lt;&gt;"",DAY(K343),"")</f>
        <v/>
      </c>
      <c r="H343" t="str">
        <f t="shared" ref="H343:H348" si="36">IF(K343&lt;&gt;"",YEAR(K343),"")</f>
        <v/>
      </c>
      <c r="K343" s="5"/>
    </row>
    <row r="344" spans="4:11" x14ac:dyDescent="0.25">
      <c r="D344" s="7" t="str">
        <f t="shared" si="32"/>
        <v/>
      </c>
      <c r="E344" s="6" t="str">
        <f t="shared" si="33"/>
        <v/>
      </c>
      <c r="F344" s="27" t="str">
        <f t="shared" si="34"/>
        <v/>
      </c>
      <c r="G344" t="str">
        <f t="shared" si="35"/>
        <v/>
      </c>
      <c r="H344" t="str">
        <f t="shared" si="36"/>
        <v/>
      </c>
      <c r="K344" s="5"/>
    </row>
    <row r="345" spans="4:11" x14ac:dyDescent="0.25">
      <c r="D345" s="7" t="str">
        <f t="shared" si="32"/>
        <v/>
      </c>
      <c r="E345" s="6" t="str">
        <f t="shared" si="33"/>
        <v/>
      </c>
      <c r="F345" s="27" t="str">
        <f t="shared" si="34"/>
        <v/>
      </c>
      <c r="G345" t="str">
        <f t="shared" si="35"/>
        <v/>
      </c>
      <c r="H345" t="str">
        <f t="shared" si="36"/>
        <v/>
      </c>
      <c r="K345" s="5"/>
    </row>
    <row r="346" spans="4:11" x14ac:dyDescent="0.25">
      <c r="D346" s="7" t="str">
        <f t="shared" si="32"/>
        <v/>
      </c>
      <c r="E346" s="6" t="str">
        <f t="shared" si="33"/>
        <v/>
      </c>
      <c r="F346" s="27" t="str">
        <f t="shared" si="34"/>
        <v/>
      </c>
      <c r="G346" t="str">
        <f t="shared" si="35"/>
        <v/>
      </c>
      <c r="H346" t="str">
        <f t="shared" si="36"/>
        <v/>
      </c>
      <c r="K346" s="5"/>
    </row>
    <row r="347" spans="4:11" x14ac:dyDescent="0.25">
      <c r="D347" s="7" t="str">
        <f t="shared" si="32"/>
        <v/>
      </c>
      <c r="E347" s="6" t="str">
        <f t="shared" si="33"/>
        <v/>
      </c>
      <c r="F347" s="27" t="str">
        <f t="shared" si="34"/>
        <v/>
      </c>
      <c r="G347" t="str">
        <f t="shared" si="35"/>
        <v/>
      </c>
      <c r="H347" t="str">
        <f t="shared" si="36"/>
        <v/>
      </c>
      <c r="K347" s="5"/>
    </row>
    <row r="348" spans="4:11" x14ac:dyDescent="0.25">
      <c r="D348" s="7" t="str">
        <f t="shared" si="32"/>
        <v/>
      </c>
      <c r="E348" s="6" t="str">
        <f t="shared" si="33"/>
        <v/>
      </c>
      <c r="F348" s="27" t="str">
        <f t="shared" si="34"/>
        <v/>
      </c>
      <c r="G348" t="str">
        <f t="shared" si="35"/>
        <v/>
      </c>
      <c r="H348" t="str">
        <f t="shared" si="36"/>
        <v/>
      </c>
      <c r="K348" s="5"/>
    </row>
  </sheetData>
  <mergeCells count="3">
    <mergeCell ref="AY5:AZ5"/>
    <mergeCell ref="AN5:AO5"/>
    <mergeCell ref="BJ5:BK5"/>
  </mergeCells>
  <phoneticPr fontId="3" type="noConversion"/>
  <pageMargins left="0.75" right="0.75" top="1" bottom="1" header="0.5" footer="0.5"/>
  <pageSetup orientation="portrait" r:id="rId1"/>
  <headerFooter alignWithMargins="0"/>
  <customProperties>
    <customPr name="ORB_SHEETNAME"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9CF8-E770-4C86-8580-63FF490A9E3A}">
  <sheetPr codeName="Sheet1"/>
  <dimension ref="A1:CL371"/>
  <sheetViews>
    <sheetView topLeftCell="BP1" workbookViewId="0">
      <selection activeCell="CI7" sqref="CI7:CI30 CJ6:CK30"/>
    </sheetView>
  </sheetViews>
  <sheetFormatPr defaultRowHeight="13.2" x14ac:dyDescent="0.25"/>
  <cols>
    <col min="1" max="1" width="13.88671875" customWidth="1"/>
    <col min="2" max="2" width="43.109375" customWidth="1"/>
    <col min="3" max="3" width="2.109375" style="3" customWidth="1"/>
    <col min="4" max="4" width="8" hidden="1" customWidth="1"/>
    <col min="5" max="5" width="8.44140625" hidden="1" customWidth="1"/>
    <col min="6" max="6" width="10.109375" bestFit="1" customWidth="1"/>
    <col min="7" max="7" width="7.5546875" hidden="1" customWidth="1"/>
    <col min="8" max="8" width="0" hidden="1" customWidth="1"/>
    <col min="9" max="9" width="12" hidden="1" customWidth="1"/>
    <col min="10" max="10" width="2" style="3" customWidth="1"/>
    <col min="11" max="11" width="10.109375" bestFit="1" customWidth="1"/>
    <col min="12" max="12" width="12" customWidth="1"/>
    <col min="13" max="13" width="16.6640625" customWidth="1"/>
    <col min="14" max="14" width="17.33203125" hidden="1" customWidth="1"/>
    <col min="15" max="19" width="0" hidden="1" customWidth="1"/>
    <col min="20" max="20" width="2" style="3" customWidth="1"/>
    <col min="21" max="21" width="10.109375" bestFit="1" customWidth="1"/>
    <col min="22" max="22" width="12.6640625" customWidth="1"/>
    <col min="23" max="23" width="18" customWidth="1"/>
    <col min="24" max="28" width="0" hidden="1" customWidth="1"/>
    <col min="29" max="29" width="2" style="3" customWidth="1"/>
    <col min="30" max="30" width="10.109375" bestFit="1" customWidth="1"/>
    <col min="31" max="31" width="12.33203125" customWidth="1"/>
    <col min="32" max="32" width="17.5546875" customWidth="1"/>
    <col min="33" max="37" width="0" hidden="1" customWidth="1"/>
    <col min="38" max="38" width="2" style="3" customWidth="1"/>
    <col min="39" max="43" width="0" hidden="1" customWidth="1"/>
    <col min="44" max="44" width="10.109375" bestFit="1" customWidth="1"/>
    <col min="45" max="45" width="16.109375" customWidth="1"/>
    <col min="46" max="46" width="16.44140625" customWidth="1"/>
    <col min="47" max="51" width="0" hidden="1" customWidth="1"/>
    <col min="52" max="52" width="2" style="3" customWidth="1"/>
    <col min="53" max="53" width="10.109375" style="33" bestFit="1" customWidth="1"/>
    <col min="54" max="54" width="14" customWidth="1"/>
    <col min="55" max="55" width="17.44140625" customWidth="1"/>
    <col min="56" max="60" width="9.109375" hidden="1" customWidth="1"/>
    <col min="61" max="61" width="2" style="3" customWidth="1"/>
    <col min="62" max="66" width="0" hidden="1" customWidth="1"/>
    <col min="67" max="67" width="10.109375" bestFit="1" customWidth="1"/>
    <col min="68" max="68" width="13.6640625" customWidth="1"/>
    <col min="69" max="69" width="15.6640625" customWidth="1"/>
    <col min="70" max="70" width="2" style="3" customWidth="1"/>
    <col min="71" max="71" width="10.109375" bestFit="1" customWidth="1"/>
    <col min="72" max="72" width="18" customWidth="1"/>
    <col min="73" max="73" width="18.109375" customWidth="1"/>
    <col min="74" max="74" width="2" style="3" customWidth="1"/>
    <col min="75" max="75" width="10.109375" bestFit="1" customWidth="1"/>
    <col min="76" max="76" width="16.88671875" customWidth="1"/>
    <col min="77" max="77" width="18.6640625" customWidth="1"/>
    <col min="78" max="78" width="2" style="3" customWidth="1"/>
    <col min="79" max="79" width="10.109375" bestFit="1" customWidth="1"/>
    <col min="80" max="80" width="15.6640625" customWidth="1"/>
    <col min="81" max="81" width="17.44140625" customWidth="1"/>
    <col min="82" max="82" width="2" style="3" customWidth="1"/>
    <col min="83" max="83" width="10.109375" bestFit="1" customWidth="1"/>
    <col min="84" max="84" width="15.5546875" customWidth="1"/>
    <col min="85" max="85" width="16" customWidth="1"/>
    <col min="86" max="86" width="2" style="3" customWidth="1"/>
    <col min="87" max="87" width="10.109375" bestFit="1" customWidth="1"/>
    <col min="88" max="88" width="17" customWidth="1"/>
    <col min="89" max="89" width="16.6640625" customWidth="1"/>
    <col min="90" max="90" width="2" style="3" customWidth="1"/>
  </cols>
  <sheetData>
    <row r="1" spans="1:89" x14ac:dyDescent="0.25">
      <c r="A1" t="s">
        <v>0</v>
      </c>
      <c r="B1" t="str">
        <f>Config!B1</f>
        <v>canadapostca-global</v>
      </c>
      <c r="D1" s="3"/>
      <c r="E1" s="3"/>
      <c r="F1" s="3"/>
      <c r="G1" s="3"/>
      <c r="H1" s="3"/>
      <c r="I1" s="3"/>
      <c r="K1" s="3"/>
      <c r="L1" s="3"/>
      <c r="M1" s="3"/>
      <c r="N1" s="3"/>
      <c r="U1" s="3"/>
      <c r="V1" s="3"/>
      <c r="W1" s="3"/>
      <c r="AD1" s="3"/>
      <c r="AE1" s="3"/>
      <c r="AF1" s="3"/>
      <c r="AR1" s="3"/>
      <c r="AS1" s="3"/>
      <c r="AT1" s="3"/>
      <c r="BA1" s="34"/>
      <c r="BB1" s="3"/>
      <c r="BC1" s="3"/>
      <c r="BO1" s="34"/>
      <c r="BP1" s="3"/>
      <c r="BQ1" s="3"/>
      <c r="BS1" s="34"/>
      <c r="BT1" s="3"/>
      <c r="BU1" s="3"/>
      <c r="BW1" s="34"/>
      <c r="BX1" s="3"/>
      <c r="BY1" s="3"/>
      <c r="CA1" s="34"/>
      <c r="CB1" s="3"/>
      <c r="CC1" s="3"/>
      <c r="CE1" s="34"/>
      <c r="CF1" s="3"/>
      <c r="CG1" s="3"/>
      <c r="CI1" s="34"/>
      <c r="CJ1" s="3"/>
      <c r="CK1" s="3"/>
    </row>
    <row r="2" spans="1:89" x14ac:dyDescent="0.25">
      <c r="A2" s="3"/>
      <c r="B2" s="3"/>
      <c r="D2" s="3"/>
      <c r="E2" s="3"/>
      <c r="F2" s="3"/>
      <c r="G2" s="3"/>
      <c r="H2" s="3"/>
      <c r="I2" s="3"/>
      <c r="K2" s="3"/>
      <c r="L2" s="3"/>
      <c r="M2" s="3"/>
      <c r="N2" s="3"/>
      <c r="U2" s="3"/>
      <c r="V2" s="3"/>
      <c r="W2" s="3"/>
      <c r="AD2" s="3"/>
      <c r="AE2" s="3"/>
      <c r="AF2" s="3"/>
      <c r="AR2" s="3"/>
      <c r="AS2" s="3"/>
      <c r="AT2" s="3"/>
      <c r="BA2" s="34"/>
      <c r="BB2" s="3"/>
      <c r="BC2" s="3"/>
      <c r="BO2" s="34"/>
      <c r="BP2" s="3"/>
      <c r="BQ2" s="3"/>
      <c r="BS2" s="34"/>
      <c r="BT2" s="3"/>
      <c r="BU2" s="3"/>
      <c r="BW2" s="34"/>
      <c r="BX2" s="3"/>
      <c r="BY2" s="3"/>
      <c r="CA2" s="34"/>
      <c r="CB2" s="3"/>
      <c r="CC2" s="3"/>
      <c r="CE2" s="34"/>
      <c r="CF2" s="3"/>
      <c r="CG2" s="3"/>
      <c r="CI2" s="34"/>
      <c r="CJ2" s="3"/>
      <c r="CK2" s="3"/>
    </row>
    <row r="3" spans="1:89" x14ac:dyDescent="0.25">
      <c r="A3" t="s">
        <v>5</v>
      </c>
      <c r="B3" s="4">
        <f>Config!B3</f>
        <v>40269</v>
      </c>
      <c r="D3" s="3"/>
      <c r="E3" s="3"/>
      <c r="F3" s="3"/>
      <c r="G3" s="3"/>
      <c r="H3" s="3"/>
      <c r="I3" s="3"/>
      <c r="K3" s="3"/>
      <c r="L3" s="3"/>
      <c r="M3" s="3"/>
      <c r="N3" s="3"/>
      <c r="U3" s="3"/>
      <c r="V3" s="3"/>
      <c r="W3" s="3"/>
      <c r="AD3" s="3"/>
      <c r="AE3" s="3"/>
      <c r="AF3" s="3"/>
      <c r="AR3" s="3"/>
      <c r="AS3" s="3"/>
      <c r="AT3" s="3"/>
      <c r="BA3" s="34"/>
      <c r="BB3" s="3"/>
      <c r="BC3" s="3"/>
      <c r="BO3" s="34"/>
      <c r="BP3" s="3"/>
      <c r="BQ3" s="3"/>
      <c r="BS3" s="34"/>
      <c r="BT3" s="3"/>
      <c r="BU3" s="3"/>
      <c r="BW3" s="34"/>
      <c r="BX3" s="3"/>
      <c r="BY3" s="3"/>
      <c r="CA3" s="34"/>
      <c r="CB3" s="3"/>
      <c r="CC3" s="3"/>
      <c r="CE3" s="34"/>
      <c r="CF3" s="3"/>
      <c r="CG3" s="3"/>
      <c r="CI3" s="34"/>
      <c r="CJ3" s="3"/>
      <c r="CK3" s="3"/>
    </row>
    <row r="4" spans="1:89" x14ac:dyDescent="0.25">
      <c r="A4" t="s">
        <v>6</v>
      </c>
      <c r="B4" s="4">
        <f>Config!B4</f>
        <v>40999</v>
      </c>
      <c r="D4" s="3"/>
      <c r="E4" s="3"/>
      <c r="F4" s="3"/>
      <c r="G4" s="3"/>
      <c r="H4" s="3"/>
      <c r="I4" s="3"/>
      <c r="K4" s="3" t="s">
        <v>14</v>
      </c>
      <c r="L4" s="3"/>
      <c r="M4" s="3"/>
      <c r="N4" s="3"/>
      <c r="U4" s="3" t="s">
        <v>15</v>
      </c>
      <c r="V4" s="3"/>
      <c r="W4" s="3"/>
      <c r="AD4" s="3" t="s">
        <v>15</v>
      </c>
      <c r="AE4" s="3"/>
      <c r="AF4" s="3"/>
      <c r="AR4" s="3" t="s">
        <v>15</v>
      </c>
      <c r="AS4" s="3"/>
      <c r="AT4" s="3"/>
      <c r="BA4" s="34" t="s">
        <v>15</v>
      </c>
      <c r="BB4" s="3"/>
      <c r="BC4" s="3"/>
      <c r="BO4" s="34" t="s">
        <v>50</v>
      </c>
      <c r="BP4" s="3"/>
      <c r="BQ4" s="3"/>
      <c r="BS4" s="34" t="s">
        <v>57</v>
      </c>
      <c r="BT4" s="3"/>
      <c r="BU4" s="3"/>
      <c r="BW4" s="34" t="s">
        <v>57</v>
      </c>
      <c r="BX4" s="3"/>
      <c r="BY4" s="3"/>
      <c r="CA4" s="34" t="s">
        <v>57</v>
      </c>
      <c r="CB4" s="3"/>
      <c r="CC4" s="3"/>
      <c r="CE4" s="34" t="s">
        <v>57</v>
      </c>
      <c r="CF4" s="3"/>
      <c r="CG4" s="3"/>
      <c r="CI4" s="34" t="s">
        <v>57</v>
      </c>
      <c r="CJ4" s="3"/>
      <c r="CK4" s="3"/>
    </row>
    <row r="5" spans="1:89" x14ac:dyDescent="0.25">
      <c r="A5" s="3"/>
      <c r="B5" s="3"/>
      <c r="D5" s="3"/>
      <c r="E5" s="3"/>
      <c r="F5" s="3"/>
      <c r="G5" s="3"/>
      <c r="H5" s="3"/>
      <c r="I5" s="3"/>
      <c r="K5" s="82" t="str">
        <f>ORB_V1_sh1_111110115509284</f>
        <v>cpc.ca: shop</v>
      </c>
      <c r="L5" s="82"/>
      <c r="M5" s="82"/>
      <c r="N5" s="9"/>
      <c r="U5" s="82" t="str">
        <f>ORB_V1_sh1_111110011553438</f>
        <v>cpc.ca: shop &gt; business</v>
      </c>
      <c r="V5" s="82"/>
      <c r="W5" s="82"/>
      <c r="AD5" s="82" t="str">
        <f>ORB_V1_sh1_111110031041880</f>
        <v>cpc.ca: shop &gt; commercial</v>
      </c>
      <c r="AE5" s="82"/>
      <c r="AF5" s="82"/>
      <c r="AR5" s="82" t="str">
        <f>ORB_V1_sh2_111111125530097</f>
        <v>cpc.ca: shop &gt; personal</v>
      </c>
      <c r="AS5" s="82"/>
      <c r="AT5" s="82"/>
      <c r="BA5" s="82" t="str">
        <f>ORB_V1_sh2_111111010251999</f>
        <v>cpc.ca: shop &gt; collecting</v>
      </c>
      <c r="BB5" s="82"/>
      <c r="BC5" s="82"/>
      <c r="BD5" s="33"/>
      <c r="BO5" s="84" t="str">
        <f>ORB_V1_sh4_111202043031889</f>
        <v>cpc.ca</v>
      </c>
      <c r="BP5" s="84"/>
      <c r="BQ5" s="84"/>
      <c r="BS5" s="83" t="str">
        <f>ORB_V1_sh4_111202044006439</f>
        <v>cpc.ca: shop &gt; checkout &gt; address information</v>
      </c>
      <c r="BT5" s="83"/>
      <c r="BU5" s="83"/>
      <c r="BW5" s="83" t="str">
        <f>ORB_V1_sh4_111202044343132</f>
        <v>cpc.ca: shop &gt; checkout &gt; shipping options</v>
      </c>
      <c r="BX5" s="83"/>
      <c r="BY5" s="83"/>
      <c r="CA5" s="83" t="str">
        <f>ORB_V1_sh4_111202044604236</f>
        <v>cpc.ca: shop &gt; checkout &gt; payment options</v>
      </c>
      <c r="CB5" s="83"/>
      <c r="CC5" s="83"/>
      <c r="CE5" s="83" t="str">
        <f>ORB_V1_sh4_111202044821362</f>
        <v>cpc.ca: shop &gt; checkout &gt; place order</v>
      </c>
      <c r="CF5" s="83"/>
      <c r="CG5" s="83"/>
      <c r="CI5" s="83" t="str">
        <f>ORB_V1_sh4_111202045046333</f>
        <v>cpc.ca: shop &gt; checkout &gt; order confirmation</v>
      </c>
      <c r="CJ5" s="83"/>
      <c r="CK5" s="83"/>
    </row>
    <row r="6" spans="1:89" x14ac:dyDescent="0.25">
      <c r="A6" s="1" t="s">
        <v>7</v>
      </c>
      <c r="D6" s="2" t="s">
        <v>9</v>
      </c>
      <c r="E6" s="2" t="s">
        <v>8</v>
      </c>
      <c r="F6" s="2" t="s">
        <v>65</v>
      </c>
      <c r="G6" s="2" t="s">
        <v>4</v>
      </c>
      <c r="H6" s="2" t="s">
        <v>2</v>
      </c>
      <c r="I6" s="2" t="s">
        <v>10</v>
      </c>
      <c r="K6" s="1" t="s">
        <v>11</v>
      </c>
      <c r="L6" s="2" t="s">
        <v>12</v>
      </c>
      <c r="M6" s="2" t="s">
        <v>13</v>
      </c>
      <c r="N6" s="2"/>
      <c r="U6" s="1" t="s">
        <v>11</v>
      </c>
      <c r="V6" s="2" t="s">
        <v>12</v>
      </c>
      <c r="W6" s="2" t="s">
        <v>13</v>
      </c>
      <c r="AD6" s="1" t="s">
        <v>11</v>
      </c>
      <c r="AE6" s="2" t="s">
        <v>12</v>
      </c>
      <c r="AF6" s="2" t="s">
        <v>13</v>
      </c>
      <c r="AR6" s="1" t="s">
        <v>11</v>
      </c>
      <c r="AS6" s="2" t="s">
        <v>12</v>
      </c>
      <c r="AT6" s="2" t="s">
        <v>13</v>
      </c>
      <c r="BA6" s="1" t="s">
        <v>11</v>
      </c>
      <c r="BB6" s="1" t="s">
        <v>12</v>
      </c>
      <c r="BC6" s="1" t="s">
        <v>13</v>
      </c>
      <c r="BO6" t="s">
        <v>11</v>
      </c>
      <c r="BP6" t="s">
        <v>12</v>
      </c>
      <c r="BQ6" t="s">
        <v>13</v>
      </c>
      <c r="BS6" t="s">
        <v>11</v>
      </c>
      <c r="BT6" s="6" t="s">
        <v>12</v>
      </c>
      <c r="BU6" s="6" t="s">
        <v>13</v>
      </c>
      <c r="BW6" t="s">
        <v>11</v>
      </c>
      <c r="BX6" s="6" t="s">
        <v>12</v>
      </c>
      <c r="BY6" s="6" t="s">
        <v>13</v>
      </c>
      <c r="CA6" t="s">
        <v>11</v>
      </c>
      <c r="CB6" s="6" t="s">
        <v>12</v>
      </c>
      <c r="CC6" s="6" t="s">
        <v>13</v>
      </c>
      <c r="CE6" t="s">
        <v>11</v>
      </c>
      <c r="CF6" s="6" t="s">
        <v>12</v>
      </c>
      <c r="CG6" s="6" t="s">
        <v>13</v>
      </c>
      <c r="CI6" t="s">
        <v>11</v>
      </c>
      <c r="CJ6" s="6" t="s">
        <v>12</v>
      </c>
      <c r="CK6" s="6" t="s">
        <v>13</v>
      </c>
    </row>
    <row r="7" spans="1:89" x14ac:dyDescent="0.25">
      <c r="A7" t="str">
        <f>IF(Config!A7 &lt;&gt; "",Config!A7,"")</f>
        <v>ss1</v>
      </c>
      <c r="B7" t="str">
        <f>IF(Config!B7&lt;&gt;"",Config!B7,"")</f>
        <v>cpc.ca: shop</v>
      </c>
      <c r="D7" s="7">
        <f>IF(K7&lt;&gt;"",1+INT((K7-(DATE(YEAR(K7),1,2)-WEEKDAY(DATE(YEAR(K7),1,1))))/7),"")</f>
        <v>40</v>
      </c>
      <c r="E7" s="6" t="str">
        <f>IF(K7&lt;&gt;"",TEXT(K7,"ddd"),"")</f>
        <v>Fri</v>
      </c>
      <c r="F7" s="6">
        <f>K7</f>
        <v>40452</v>
      </c>
      <c r="G7">
        <f>IF(K7&lt;&gt;"",DAY(K7),"")</f>
        <v>1</v>
      </c>
      <c r="H7">
        <f>IF(K7&lt;&gt;"",YEAR(K7),"")</f>
        <v>2010</v>
      </c>
      <c r="K7" s="5">
        <v>40452</v>
      </c>
      <c r="L7">
        <v>55945</v>
      </c>
      <c r="M7">
        <v>567805</v>
      </c>
      <c r="U7" s="5">
        <v>40452</v>
      </c>
      <c r="V7">
        <v>9865</v>
      </c>
      <c r="W7">
        <v>77255</v>
      </c>
      <c r="AD7" s="5">
        <v>40452</v>
      </c>
      <c r="AE7">
        <v>5210</v>
      </c>
      <c r="AF7">
        <v>36109</v>
      </c>
      <c r="AR7" s="5">
        <v>40452</v>
      </c>
      <c r="AS7">
        <v>34336</v>
      </c>
      <c r="AT7">
        <v>215674</v>
      </c>
      <c r="BA7" s="5">
        <v>40452</v>
      </c>
      <c r="BB7">
        <v>14676</v>
      </c>
      <c r="BC7">
        <v>227640</v>
      </c>
      <c r="BO7" s="5">
        <v>40452</v>
      </c>
      <c r="BP7">
        <v>6443831</v>
      </c>
      <c r="BQ7">
        <v>30192085</v>
      </c>
      <c r="BS7" s="5">
        <v>40452</v>
      </c>
      <c r="BT7">
        <v>5066</v>
      </c>
      <c r="BU7">
        <v>7826</v>
      </c>
      <c r="BW7" s="5">
        <v>40452</v>
      </c>
      <c r="BX7">
        <v>4930</v>
      </c>
      <c r="BY7">
        <v>6694</v>
      </c>
      <c r="CA7" s="5">
        <v>40452</v>
      </c>
      <c r="CB7">
        <v>4829</v>
      </c>
      <c r="CC7">
        <v>10185</v>
      </c>
      <c r="CE7" s="5">
        <v>40452</v>
      </c>
      <c r="CF7">
        <v>4442</v>
      </c>
      <c r="CG7">
        <v>6043</v>
      </c>
      <c r="CI7" s="5">
        <v>40452</v>
      </c>
      <c r="CJ7">
        <v>4163</v>
      </c>
      <c r="CK7">
        <v>4628</v>
      </c>
    </row>
    <row r="8" spans="1:89" x14ac:dyDescent="0.25">
      <c r="A8" t="str">
        <f>IF(Config!A8 &lt;&gt; "",Config!A8,"")</f>
        <v>ss2</v>
      </c>
      <c r="B8" t="str">
        <f>IF(Config!B8&lt;&gt;"",Config!B8,"")</f>
        <v>cpc.ca: shop &gt; business</v>
      </c>
      <c r="D8" s="7">
        <f t="shared" ref="D8:D71" si="0">IF(K8&lt;&gt;"",1+INT((K8-(DATE(YEAR(K8),1,2)-WEEKDAY(DATE(YEAR(K8),1,1))))/7),"")</f>
        <v>45</v>
      </c>
      <c r="E8" s="6" t="str">
        <f t="shared" ref="E8:E71" si="1">IF(K8&lt;&gt;"",TEXT(K8,"ddd"),"")</f>
        <v>Mon</v>
      </c>
      <c r="F8" s="6">
        <f t="shared" ref="F8:F31" si="2">K8</f>
        <v>40483</v>
      </c>
      <c r="G8">
        <f t="shared" ref="G8:G71" si="3">IF(K8&lt;&gt;"",DAY(K8),"")</f>
        <v>1</v>
      </c>
      <c r="H8">
        <f t="shared" ref="H8:H71" si="4">IF(K8&lt;&gt;"",YEAR(K8),"")</f>
        <v>2010</v>
      </c>
      <c r="K8" s="5">
        <v>40483</v>
      </c>
      <c r="L8">
        <v>69917</v>
      </c>
      <c r="M8">
        <v>683115</v>
      </c>
      <c r="U8" s="5">
        <v>40483</v>
      </c>
      <c r="V8">
        <v>9710</v>
      </c>
      <c r="W8">
        <v>75390</v>
      </c>
      <c r="AD8" s="5">
        <v>40483</v>
      </c>
      <c r="AE8">
        <v>5972</v>
      </c>
      <c r="AF8">
        <v>40346</v>
      </c>
      <c r="AR8" s="5">
        <v>40483</v>
      </c>
      <c r="AS8">
        <v>46425</v>
      </c>
      <c r="AT8">
        <v>304479</v>
      </c>
      <c r="BA8" s="35">
        <v>40483</v>
      </c>
      <c r="BB8">
        <v>16727</v>
      </c>
      <c r="BC8">
        <v>247842</v>
      </c>
      <c r="BO8" s="5">
        <v>40483</v>
      </c>
      <c r="BP8">
        <v>7336910</v>
      </c>
      <c r="BQ8">
        <v>34872916</v>
      </c>
      <c r="BS8" s="5">
        <v>40483</v>
      </c>
      <c r="BT8">
        <v>6249</v>
      </c>
      <c r="BU8">
        <v>9436</v>
      </c>
      <c r="BW8" s="5">
        <v>40483</v>
      </c>
      <c r="BX8">
        <v>6096</v>
      </c>
      <c r="BY8">
        <v>8630</v>
      </c>
      <c r="CA8" s="5">
        <v>40483</v>
      </c>
      <c r="CB8">
        <v>5974</v>
      </c>
      <c r="CC8">
        <v>13139</v>
      </c>
      <c r="CE8" s="5">
        <v>40483</v>
      </c>
      <c r="CF8">
        <v>5334</v>
      </c>
      <c r="CG8">
        <v>7283</v>
      </c>
      <c r="CI8" s="5">
        <v>40483</v>
      </c>
      <c r="CJ8">
        <v>5017</v>
      </c>
      <c r="CK8">
        <v>5581</v>
      </c>
    </row>
    <row r="9" spans="1:89" x14ac:dyDescent="0.25">
      <c r="A9" t="str">
        <f>IF(Config!A9 &lt;&gt; "",Config!A9,"")</f>
        <v>ss2</v>
      </c>
      <c r="B9" t="str">
        <f>IF(Config!B9&lt;&gt;"",Config!B9,"")</f>
        <v>cpc.ca: shop &gt; commercial</v>
      </c>
      <c r="D9" s="7">
        <f t="shared" si="0"/>
        <v>49</v>
      </c>
      <c r="E9" s="6" t="str">
        <f t="shared" si="1"/>
        <v>Wed</v>
      </c>
      <c r="F9" s="6">
        <f t="shared" si="2"/>
        <v>40513</v>
      </c>
      <c r="G9">
        <f t="shared" si="3"/>
        <v>1</v>
      </c>
      <c r="H9">
        <f t="shared" si="4"/>
        <v>2010</v>
      </c>
      <c r="K9" s="5">
        <v>40513</v>
      </c>
      <c r="L9">
        <v>81517</v>
      </c>
      <c r="M9">
        <v>727237</v>
      </c>
      <c r="U9" s="5">
        <v>40513</v>
      </c>
      <c r="V9">
        <v>9072</v>
      </c>
      <c r="W9">
        <v>64554</v>
      </c>
      <c r="AD9" s="5">
        <v>40513</v>
      </c>
      <c r="AE9">
        <v>5887</v>
      </c>
      <c r="AF9">
        <v>39132</v>
      </c>
      <c r="AR9" s="5">
        <v>40513</v>
      </c>
      <c r="AS9">
        <v>55983</v>
      </c>
      <c r="AT9">
        <v>332049</v>
      </c>
      <c r="BA9" s="35">
        <v>40513</v>
      </c>
      <c r="BB9">
        <v>17915</v>
      </c>
      <c r="BC9">
        <v>274481</v>
      </c>
      <c r="BO9" s="5">
        <v>40513</v>
      </c>
      <c r="BP9">
        <v>9326718</v>
      </c>
      <c r="BQ9">
        <v>43947311</v>
      </c>
      <c r="BS9" s="5">
        <v>40513</v>
      </c>
      <c r="BT9">
        <v>5517</v>
      </c>
      <c r="BU9">
        <v>8537</v>
      </c>
      <c r="BW9" s="5">
        <v>40513</v>
      </c>
      <c r="BX9">
        <v>5387</v>
      </c>
      <c r="BY9">
        <v>7586</v>
      </c>
      <c r="CA9" s="5">
        <v>40513</v>
      </c>
      <c r="CB9">
        <v>5404</v>
      </c>
      <c r="CC9">
        <v>12073</v>
      </c>
      <c r="CE9" s="5">
        <v>40513</v>
      </c>
      <c r="CF9">
        <v>4825</v>
      </c>
      <c r="CG9">
        <v>6748</v>
      </c>
      <c r="CI9" s="5">
        <v>40513</v>
      </c>
      <c r="CJ9">
        <v>4511</v>
      </c>
      <c r="CK9">
        <v>5080</v>
      </c>
    </row>
    <row r="10" spans="1:89" x14ac:dyDescent="0.25">
      <c r="A10" t="str">
        <f>IF(Config!A10 &lt;&gt; "",Config!A10,"")</f>
        <v>ss2</v>
      </c>
      <c r="B10" t="str">
        <f>IF(Config!B10&lt;&gt;"",Config!B10,"")</f>
        <v>cpc.ca: shop &gt; personal</v>
      </c>
      <c r="D10" s="7">
        <f t="shared" si="0"/>
        <v>1</v>
      </c>
      <c r="E10" s="6" t="str">
        <f t="shared" si="1"/>
        <v>Sat</v>
      </c>
      <c r="F10" s="6">
        <f t="shared" si="2"/>
        <v>40544</v>
      </c>
      <c r="G10">
        <f t="shared" si="3"/>
        <v>1</v>
      </c>
      <c r="H10">
        <f t="shared" si="4"/>
        <v>2011</v>
      </c>
      <c r="K10" s="5">
        <v>40544</v>
      </c>
      <c r="L10">
        <v>77633</v>
      </c>
      <c r="M10">
        <v>952961</v>
      </c>
      <c r="U10" s="5">
        <v>40544</v>
      </c>
      <c r="V10">
        <v>10692</v>
      </c>
      <c r="W10">
        <v>93718</v>
      </c>
      <c r="AD10" s="5">
        <v>40544</v>
      </c>
      <c r="AE10">
        <v>6584</v>
      </c>
      <c r="AF10">
        <v>55271</v>
      </c>
      <c r="AR10" s="5">
        <v>40544</v>
      </c>
      <c r="AS10">
        <v>49134</v>
      </c>
      <c r="AT10">
        <v>376175</v>
      </c>
      <c r="BA10" s="35">
        <v>40544</v>
      </c>
      <c r="BB10">
        <v>22549</v>
      </c>
      <c r="BC10">
        <v>409831</v>
      </c>
      <c r="BO10" s="5">
        <v>40544</v>
      </c>
      <c r="BP10">
        <v>7767623</v>
      </c>
      <c r="BQ10">
        <v>36562327</v>
      </c>
      <c r="BS10" s="5">
        <v>40544</v>
      </c>
      <c r="BT10">
        <v>7273</v>
      </c>
      <c r="BU10">
        <v>11855</v>
      </c>
      <c r="BW10" s="5">
        <v>40544</v>
      </c>
      <c r="BX10">
        <v>7520</v>
      </c>
      <c r="BY10">
        <v>11311</v>
      </c>
      <c r="CA10" s="5">
        <v>40544</v>
      </c>
      <c r="CB10">
        <v>6970</v>
      </c>
      <c r="CC10">
        <v>15233</v>
      </c>
      <c r="CE10" s="5">
        <v>40544</v>
      </c>
      <c r="CF10">
        <v>6305</v>
      </c>
      <c r="CG10">
        <v>8776</v>
      </c>
      <c r="CI10" s="5">
        <v>40544</v>
      </c>
      <c r="CJ10">
        <v>5318</v>
      </c>
      <c r="CK10">
        <v>5969</v>
      </c>
    </row>
    <row r="11" spans="1:89" x14ac:dyDescent="0.25">
      <c r="A11" t="str">
        <f>IF(Config!A11 &lt;&gt; "",Config!A11,"")</f>
        <v>ss2</v>
      </c>
      <c r="B11" t="str">
        <f>IF(Config!B11&lt;&gt;"",Config!B11,"")</f>
        <v>cpc.ca: shop &gt; collecting</v>
      </c>
      <c r="D11" s="7">
        <f t="shared" si="0"/>
        <v>6</v>
      </c>
      <c r="E11" s="6" t="str">
        <f t="shared" si="1"/>
        <v>Tue</v>
      </c>
      <c r="F11" s="6">
        <f t="shared" si="2"/>
        <v>40575</v>
      </c>
      <c r="G11">
        <f t="shared" si="3"/>
        <v>1</v>
      </c>
      <c r="H11">
        <f t="shared" si="4"/>
        <v>2011</v>
      </c>
      <c r="K11" s="5">
        <v>40575</v>
      </c>
      <c r="L11">
        <v>68284</v>
      </c>
      <c r="M11">
        <v>732691</v>
      </c>
      <c r="U11" s="5">
        <v>40575</v>
      </c>
      <c r="V11">
        <v>11077</v>
      </c>
      <c r="W11">
        <v>84240</v>
      </c>
      <c r="AD11" s="5">
        <v>40575</v>
      </c>
      <c r="AE11">
        <v>5902</v>
      </c>
      <c r="AF11">
        <v>47558</v>
      </c>
      <c r="AR11" s="5">
        <v>40575</v>
      </c>
      <c r="AS11">
        <v>44709</v>
      </c>
      <c r="AT11">
        <v>310858</v>
      </c>
      <c r="BA11" s="35">
        <v>40575</v>
      </c>
      <c r="BB11">
        <v>18079</v>
      </c>
      <c r="BC11">
        <v>273573</v>
      </c>
      <c r="BO11" s="5">
        <v>40575</v>
      </c>
      <c r="BP11">
        <v>6692339</v>
      </c>
      <c r="BQ11">
        <v>32252418</v>
      </c>
      <c r="BS11" s="5">
        <v>40575</v>
      </c>
      <c r="BT11">
        <v>7373</v>
      </c>
      <c r="BU11">
        <v>10411</v>
      </c>
      <c r="BW11" s="5">
        <v>40575</v>
      </c>
      <c r="BX11">
        <v>7496</v>
      </c>
      <c r="BY11">
        <v>9766</v>
      </c>
      <c r="CA11" s="5">
        <v>40575</v>
      </c>
      <c r="CB11">
        <v>7294</v>
      </c>
      <c r="CC11">
        <v>13741</v>
      </c>
      <c r="CE11" s="5">
        <v>40575</v>
      </c>
      <c r="CF11">
        <v>6757</v>
      </c>
      <c r="CG11">
        <v>8690</v>
      </c>
      <c r="CI11" s="5">
        <v>40575</v>
      </c>
      <c r="CJ11">
        <v>4442</v>
      </c>
      <c r="CK11">
        <v>5000</v>
      </c>
    </row>
    <row r="12" spans="1:89" x14ac:dyDescent="0.25">
      <c r="A12" t="str">
        <f>IF(Config!A12 &lt;&gt; "",Config!A12,"")</f>
        <v>site</v>
      </c>
      <c r="B12" t="str">
        <f>IF(Config!B12&lt;&gt;"",Config!B12,"")</f>
        <v>cpc.ca</v>
      </c>
      <c r="D12" s="7">
        <f t="shared" si="0"/>
        <v>10</v>
      </c>
      <c r="E12" s="6" t="str">
        <f t="shared" si="1"/>
        <v>Tue</v>
      </c>
      <c r="F12" s="6">
        <f t="shared" si="2"/>
        <v>40603</v>
      </c>
      <c r="G12">
        <f t="shared" si="3"/>
        <v>1</v>
      </c>
      <c r="H12">
        <f t="shared" si="4"/>
        <v>2011</v>
      </c>
      <c r="K12" s="5">
        <v>40603</v>
      </c>
      <c r="L12">
        <v>77937</v>
      </c>
      <c r="M12">
        <v>732429</v>
      </c>
      <c r="U12" s="5">
        <v>40603</v>
      </c>
      <c r="V12">
        <v>14532</v>
      </c>
      <c r="W12">
        <v>90758</v>
      </c>
      <c r="AD12" s="5">
        <v>40603</v>
      </c>
      <c r="AE12">
        <v>6702</v>
      </c>
      <c r="AF12">
        <v>47074</v>
      </c>
      <c r="AR12" s="5">
        <v>40603</v>
      </c>
      <c r="AS12">
        <v>50162</v>
      </c>
      <c r="AT12">
        <v>314727</v>
      </c>
      <c r="BA12" s="35">
        <v>40603</v>
      </c>
      <c r="BB12">
        <v>19591</v>
      </c>
      <c r="BC12">
        <v>259191</v>
      </c>
      <c r="BO12" s="5">
        <v>40603</v>
      </c>
      <c r="BP12">
        <v>7874057</v>
      </c>
      <c r="BQ12">
        <v>38264554</v>
      </c>
      <c r="BS12" s="5">
        <v>40603</v>
      </c>
      <c r="BT12">
        <v>10455</v>
      </c>
      <c r="BU12">
        <v>13942</v>
      </c>
      <c r="BW12" s="5">
        <v>40603</v>
      </c>
      <c r="BX12">
        <v>10246</v>
      </c>
      <c r="BY12">
        <v>12886</v>
      </c>
      <c r="CA12" s="5">
        <v>40603</v>
      </c>
      <c r="CB12">
        <v>10020</v>
      </c>
      <c r="CC12">
        <v>17230</v>
      </c>
      <c r="CE12" s="5">
        <v>40603</v>
      </c>
      <c r="CF12">
        <v>8736</v>
      </c>
      <c r="CG12">
        <v>10911</v>
      </c>
      <c r="CI12" s="5">
        <v>40603</v>
      </c>
      <c r="CJ12">
        <v>5402</v>
      </c>
      <c r="CK12">
        <v>6191</v>
      </c>
    </row>
    <row r="13" spans="1:89" x14ac:dyDescent="0.25">
      <c r="A13" t="str">
        <f>IF(Config!A13 &lt;&gt; "",Config!A13,"")</f>
        <v>basic page</v>
      </c>
      <c r="B13" t="str">
        <f>IF(Config!B13&lt;&gt;"",Config!B13,"")</f>
        <v>cpc.ca: shop &gt; checkout &gt; address information</v>
      </c>
      <c r="D13" s="7">
        <f t="shared" si="0"/>
        <v>14</v>
      </c>
      <c r="E13" s="6" t="str">
        <f t="shared" si="1"/>
        <v>Fri</v>
      </c>
      <c r="F13" s="6">
        <f t="shared" si="2"/>
        <v>40634</v>
      </c>
      <c r="G13">
        <f t="shared" si="3"/>
        <v>1</v>
      </c>
      <c r="H13">
        <f t="shared" si="4"/>
        <v>2011</v>
      </c>
      <c r="K13" s="5">
        <v>40634</v>
      </c>
      <c r="L13">
        <v>70586</v>
      </c>
      <c r="M13">
        <v>743042</v>
      </c>
      <c r="U13" s="5">
        <v>40634</v>
      </c>
      <c r="V13">
        <v>12092</v>
      </c>
      <c r="W13">
        <v>73397</v>
      </c>
      <c r="AD13" s="5">
        <v>40634</v>
      </c>
      <c r="AE13">
        <v>5771</v>
      </c>
      <c r="AF13">
        <v>38418</v>
      </c>
      <c r="AR13" s="5">
        <v>40634</v>
      </c>
      <c r="AS13">
        <v>44424</v>
      </c>
      <c r="AT13">
        <v>304787</v>
      </c>
      <c r="BA13" s="35">
        <v>40634</v>
      </c>
      <c r="BB13">
        <v>20048</v>
      </c>
      <c r="BC13">
        <v>307274</v>
      </c>
      <c r="BO13" s="5">
        <v>40634</v>
      </c>
      <c r="BP13">
        <v>7101387</v>
      </c>
      <c r="BQ13">
        <v>35075913</v>
      </c>
      <c r="BS13" s="5">
        <v>40634</v>
      </c>
      <c r="BT13">
        <v>9474</v>
      </c>
      <c r="BU13">
        <v>12871</v>
      </c>
      <c r="BW13" s="5">
        <v>40634</v>
      </c>
      <c r="BX13">
        <v>9291</v>
      </c>
      <c r="BY13">
        <v>11785</v>
      </c>
      <c r="CA13" s="5">
        <v>40634</v>
      </c>
      <c r="CB13">
        <v>9141</v>
      </c>
      <c r="CC13">
        <v>16529</v>
      </c>
      <c r="CE13" s="5">
        <v>40634</v>
      </c>
      <c r="CF13">
        <v>8156</v>
      </c>
      <c r="CG13">
        <v>10331</v>
      </c>
      <c r="CI13" s="5">
        <v>40634</v>
      </c>
      <c r="CJ13">
        <v>5172</v>
      </c>
      <c r="CK13">
        <v>5956</v>
      </c>
    </row>
    <row r="14" spans="1:89" x14ac:dyDescent="0.25">
      <c r="A14" t="str">
        <f>IF(Config!A14 &lt;&gt; "",Config!A14,"")</f>
        <v>basic page</v>
      </c>
      <c r="B14" t="str">
        <f>IF(Config!B14&lt;&gt;"",Config!B14,"")</f>
        <v>cpc.ca: shop &gt; checkout &gt; shipping options</v>
      </c>
      <c r="D14" s="7">
        <f t="shared" si="0"/>
        <v>19</v>
      </c>
      <c r="E14" s="6" t="str">
        <f t="shared" si="1"/>
        <v>Sun</v>
      </c>
      <c r="F14" s="6">
        <f t="shared" si="2"/>
        <v>40664</v>
      </c>
      <c r="G14">
        <f t="shared" si="3"/>
        <v>1</v>
      </c>
      <c r="H14">
        <f t="shared" si="4"/>
        <v>2011</v>
      </c>
      <c r="K14" s="5">
        <v>40664</v>
      </c>
      <c r="L14">
        <v>62557</v>
      </c>
      <c r="M14">
        <v>599466</v>
      </c>
      <c r="U14" s="5">
        <v>40664</v>
      </c>
      <c r="V14">
        <v>11510</v>
      </c>
      <c r="W14">
        <v>70861</v>
      </c>
      <c r="AD14" s="5">
        <v>40664</v>
      </c>
      <c r="AE14">
        <v>5746</v>
      </c>
      <c r="AF14">
        <v>38049</v>
      </c>
      <c r="AR14" s="5">
        <v>40664</v>
      </c>
      <c r="AS14">
        <v>39263</v>
      </c>
      <c r="AT14">
        <v>251436</v>
      </c>
      <c r="BA14" s="35">
        <v>40664</v>
      </c>
      <c r="BB14">
        <v>17266</v>
      </c>
      <c r="BC14">
        <v>225474</v>
      </c>
      <c r="BO14" s="5">
        <v>40664</v>
      </c>
      <c r="BP14">
        <v>7142409</v>
      </c>
      <c r="BQ14">
        <v>33979616</v>
      </c>
      <c r="BS14" s="5">
        <v>40664</v>
      </c>
      <c r="BT14">
        <v>8431</v>
      </c>
      <c r="BU14">
        <v>11354</v>
      </c>
      <c r="BW14" s="5">
        <v>40664</v>
      </c>
      <c r="BX14">
        <v>8226</v>
      </c>
      <c r="BY14">
        <v>10415</v>
      </c>
      <c r="CA14" s="5">
        <v>40664</v>
      </c>
      <c r="CB14">
        <v>7890</v>
      </c>
      <c r="CC14">
        <v>13345</v>
      </c>
      <c r="CE14" s="5">
        <v>40664</v>
      </c>
      <c r="CF14">
        <v>7410</v>
      </c>
      <c r="CG14">
        <v>9067</v>
      </c>
      <c r="CI14" s="5">
        <v>40664</v>
      </c>
      <c r="CJ14">
        <v>4310</v>
      </c>
      <c r="CK14">
        <v>4858</v>
      </c>
    </row>
    <row r="15" spans="1:89" x14ac:dyDescent="0.25">
      <c r="A15" t="str">
        <f>IF(Config!A15 &lt;&gt; "",Config!A15,"")</f>
        <v>basic page</v>
      </c>
      <c r="B15" t="str">
        <f>IF(Config!B15&lt;&gt;"",Config!B15,"")</f>
        <v>cpc.ca: shop &gt; checkout &gt; payment options</v>
      </c>
      <c r="D15" s="7">
        <f t="shared" si="0"/>
        <v>23</v>
      </c>
      <c r="E15" s="6" t="str">
        <f t="shared" si="1"/>
        <v>Wed</v>
      </c>
      <c r="F15" s="6">
        <f t="shared" si="2"/>
        <v>40695</v>
      </c>
      <c r="G15">
        <f t="shared" si="3"/>
        <v>1</v>
      </c>
      <c r="H15">
        <f t="shared" si="4"/>
        <v>2011</v>
      </c>
      <c r="K15" s="5">
        <v>40695</v>
      </c>
      <c r="L15">
        <v>31292</v>
      </c>
      <c r="M15">
        <v>267466</v>
      </c>
      <c r="U15" s="5">
        <v>40695</v>
      </c>
      <c r="V15">
        <v>5371</v>
      </c>
      <c r="W15">
        <v>33205</v>
      </c>
      <c r="AD15" s="5">
        <v>40695</v>
      </c>
      <c r="AE15">
        <v>3051</v>
      </c>
      <c r="AF15">
        <v>19192</v>
      </c>
      <c r="AR15" s="5">
        <v>40695</v>
      </c>
      <c r="AS15">
        <v>17698</v>
      </c>
      <c r="AT15">
        <v>110647</v>
      </c>
      <c r="BA15" s="35">
        <v>40695</v>
      </c>
      <c r="BB15">
        <v>7937</v>
      </c>
      <c r="BC15">
        <v>95535</v>
      </c>
      <c r="BO15" s="5">
        <v>40695</v>
      </c>
      <c r="BP15">
        <v>6912587</v>
      </c>
      <c r="BQ15">
        <v>30773403</v>
      </c>
      <c r="BS15" s="5">
        <v>40695</v>
      </c>
      <c r="BT15">
        <v>3463</v>
      </c>
      <c r="BU15">
        <v>4678</v>
      </c>
      <c r="BW15" s="5">
        <v>40695</v>
      </c>
      <c r="BX15">
        <v>3409</v>
      </c>
      <c r="BY15">
        <v>4369</v>
      </c>
      <c r="CA15" s="5">
        <v>40695</v>
      </c>
      <c r="CB15">
        <v>3296</v>
      </c>
      <c r="CC15">
        <v>6008</v>
      </c>
      <c r="CE15" s="5">
        <v>40695</v>
      </c>
      <c r="CF15">
        <v>3066</v>
      </c>
      <c r="CG15">
        <v>3975</v>
      </c>
      <c r="CI15" s="5">
        <v>40695</v>
      </c>
      <c r="CJ15">
        <v>2053</v>
      </c>
      <c r="CK15">
        <v>2327</v>
      </c>
    </row>
    <row r="16" spans="1:89" x14ac:dyDescent="0.25">
      <c r="A16" t="str">
        <f>IF(Config!A16 &lt;&gt; "",Config!A16,"")</f>
        <v>basic page</v>
      </c>
      <c r="B16" t="str">
        <f>IF(Config!B16&lt;&gt;"",Config!B16,"")</f>
        <v>cpc.ca: shop &gt; checkout &gt; place order</v>
      </c>
      <c r="D16" s="7">
        <f t="shared" si="0"/>
        <v>27</v>
      </c>
      <c r="E16" s="6" t="str">
        <f t="shared" si="1"/>
        <v>Fri</v>
      </c>
      <c r="F16" s="6">
        <f t="shared" si="2"/>
        <v>40725</v>
      </c>
      <c r="G16">
        <f t="shared" si="3"/>
        <v>1</v>
      </c>
      <c r="H16">
        <f t="shared" si="4"/>
        <v>2011</v>
      </c>
      <c r="K16" s="5">
        <v>40725</v>
      </c>
      <c r="L16">
        <v>61533</v>
      </c>
      <c r="M16">
        <v>585270</v>
      </c>
      <c r="U16" s="5">
        <v>40725</v>
      </c>
      <c r="V16">
        <v>10580</v>
      </c>
      <c r="W16">
        <v>65695</v>
      </c>
      <c r="AD16" s="5">
        <v>40725</v>
      </c>
      <c r="AE16">
        <v>5463</v>
      </c>
      <c r="AF16">
        <v>36665</v>
      </c>
      <c r="AR16" s="5">
        <v>40725</v>
      </c>
      <c r="AS16">
        <v>34509</v>
      </c>
      <c r="AT16">
        <v>232190</v>
      </c>
      <c r="BA16" s="35">
        <v>40725</v>
      </c>
      <c r="BB16">
        <v>17405</v>
      </c>
      <c r="BC16">
        <v>232104</v>
      </c>
      <c r="BO16" s="5">
        <v>40725</v>
      </c>
      <c r="BP16">
        <v>6684223</v>
      </c>
      <c r="BQ16">
        <v>31981591</v>
      </c>
      <c r="BS16" s="5">
        <v>40725</v>
      </c>
      <c r="BT16">
        <v>7869</v>
      </c>
      <c r="BU16">
        <v>10455</v>
      </c>
      <c r="BW16" s="5">
        <v>40725</v>
      </c>
      <c r="BX16">
        <v>7745</v>
      </c>
      <c r="BY16">
        <v>9835</v>
      </c>
      <c r="CA16" s="5">
        <v>40725</v>
      </c>
      <c r="CB16">
        <v>7600</v>
      </c>
      <c r="CC16">
        <v>13030</v>
      </c>
      <c r="CE16" s="5">
        <v>40725</v>
      </c>
      <c r="CF16">
        <v>7154</v>
      </c>
      <c r="CG16">
        <v>9013</v>
      </c>
      <c r="CI16" s="5">
        <v>40725</v>
      </c>
      <c r="CJ16">
        <v>4160</v>
      </c>
      <c r="CK16">
        <v>4804</v>
      </c>
    </row>
    <row r="17" spans="1:89" x14ac:dyDescent="0.25">
      <c r="A17" t="str">
        <f>IF(Config!A17 &lt;&gt; "",Config!A17,"")</f>
        <v>basic page</v>
      </c>
      <c r="B17" t="str">
        <f>IF(Config!B17&lt;&gt;"",Config!B17,"")</f>
        <v>cpc.ca: shop &gt; checkout &gt; order confirmation</v>
      </c>
      <c r="D17" s="7">
        <f t="shared" si="0"/>
        <v>32</v>
      </c>
      <c r="E17" s="6" t="str">
        <f t="shared" si="1"/>
        <v>Mon</v>
      </c>
      <c r="F17" s="6">
        <f t="shared" si="2"/>
        <v>40756</v>
      </c>
      <c r="G17">
        <f t="shared" si="3"/>
        <v>1</v>
      </c>
      <c r="H17">
        <f t="shared" si="4"/>
        <v>2011</v>
      </c>
      <c r="K17" s="5">
        <v>40756</v>
      </c>
      <c r="L17">
        <v>67953</v>
      </c>
      <c r="M17">
        <v>554053</v>
      </c>
      <c r="U17" s="5">
        <v>40756</v>
      </c>
      <c r="V17">
        <v>11498</v>
      </c>
      <c r="W17">
        <v>72189</v>
      </c>
      <c r="AD17" s="5">
        <v>40756</v>
      </c>
      <c r="AE17">
        <v>6072</v>
      </c>
      <c r="AF17">
        <v>39134</v>
      </c>
      <c r="AR17" s="5">
        <v>40756</v>
      </c>
      <c r="AS17">
        <v>37432</v>
      </c>
      <c r="AT17">
        <v>239358</v>
      </c>
      <c r="BA17" s="35">
        <v>40756</v>
      </c>
      <c r="BB17">
        <v>13796</v>
      </c>
      <c r="BC17">
        <v>172482</v>
      </c>
      <c r="BO17" s="5">
        <v>40756</v>
      </c>
      <c r="BP17">
        <v>6994458</v>
      </c>
      <c r="BQ17">
        <v>34908777</v>
      </c>
      <c r="BS17" s="5">
        <v>40756</v>
      </c>
      <c r="BT17">
        <v>7485</v>
      </c>
      <c r="BU17">
        <v>10224</v>
      </c>
      <c r="BW17" s="5">
        <v>40756</v>
      </c>
      <c r="BX17">
        <v>7330</v>
      </c>
      <c r="BY17">
        <v>9568</v>
      </c>
      <c r="CA17" s="5">
        <v>40756</v>
      </c>
      <c r="CB17">
        <v>7175</v>
      </c>
      <c r="CC17">
        <v>11250</v>
      </c>
      <c r="CE17" s="5">
        <v>40756</v>
      </c>
      <c r="CF17">
        <v>6775</v>
      </c>
      <c r="CG17">
        <v>8690</v>
      </c>
      <c r="CI17" s="5">
        <v>40756</v>
      </c>
      <c r="CJ17">
        <v>3749</v>
      </c>
      <c r="CK17">
        <v>4157</v>
      </c>
    </row>
    <row r="18" spans="1:89" x14ac:dyDescent="0.25">
      <c r="A18" t="str">
        <f>IF(Config!A18 &lt;&gt; "",Config!A18,"")</f>
        <v/>
      </c>
      <c r="B18" t="str">
        <f>IF(Config!B18&lt;&gt;"",Config!B18,"")</f>
        <v/>
      </c>
      <c r="D18" s="7">
        <f t="shared" si="0"/>
        <v>36</v>
      </c>
      <c r="E18" s="6" t="str">
        <f t="shared" si="1"/>
        <v>Thu</v>
      </c>
      <c r="F18" s="6">
        <f t="shared" si="2"/>
        <v>40787</v>
      </c>
      <c r="G18">
        <f t="shared" si="3"/>
        <v>1</v>
      </c>
      <c r="H18">
        <f t="shared" si="4"/>
        <v>2011</v>
      </c>
      <c r="K18" s="5">
        <v>40787</v>
      </c>
      <c r="L18">
        <v>82457</v>
      </c>
      <c r="M18">
        <v>593103</v>
      </c>
      <c r="U18" s="5">
        <v>40787</v>
      </c>
      <c r="V18">
        <v>11629</v>
      </c>
      <c r="W18">
        <v>72187</v>
      </c>
      <c r="AD18" s="5">
        <v>40787</v>
      </c>
      <c r="AE18">
        <v>6766</v>
      </c>
      <c r="AF18">
        <v>42127</v>
      </c>
      <c r="AR18" s="5">
        <v>40787</v>
      </c>
      <c r="AS18">
        <v>58300</v>
      </c>
      <c r="AT18">
        <v>292024</v>
      </c>
      <c r="BA18" s="35">
        <v>40787</v>
      </c>
      <c r="BB18">
        <v>15539</v>
      </c>
      <c r="BC18">
        <v>171174</v>
      </c>
      <c r="BO18" s="5">
        <v>40787</v>
      </c>
      <c r="BP18">
        <v>8068706</v>
      </c>
      <c r="BQ18">
        <v>34496551</v>
      </c>
      <c r="BS18" s="5">
        <v>40787</v>
      </c>
      <c r="BT18">
        <v>7815</v>
      </c>
      <c r="BU18">
        <v>10556</v>
      </c>
      <c r="BW18" s="5">
        <v>40787</v>
      </c>
      <c r="BX18">
        <v>7598</v>
      </c>
      <c r="BY18">
        <v>9672</v>
      </c>
      <c r="CA18" s="5">
        <v>40787</v>
      </c>
      <c r="CB18">
        <v>7454</v>
      </c>
      <c r="CC18">
        <v>12008</v>
      </c>
      <c r="CE18" s="5">
        <v>40787</v>
      </c>
      <c r="CF18">
        <v>6952</v>
      </c>
      <c r="CG18">
        <v>8959</v>
      </c>
      <c r="CI18" s="5">
        <v>40787</v>
      </c>
      <c r="CJ18">
        <v>4068</v>
      </c>
      <c r="CK18">
        <v>4377</v>
      </c>
    </row>
    <row r="19" spans="1:89" x14ac:dyDescent="0.25">
      <c r="A19" t="str">
        <f>IF(Config!A19 &lt;&gt; "",Config!A19,"")</f>
        <v/>
      </c>
      <c r="B19" t="str">
        <f>IF(Config!B19&lt;&gt;"",Config!B19,"")</f>
        <v/>
      </c>
      <c r="D19" s="7">
        <f t="shared" si="0"/>
        <v>40</v>
      </c>
      <c r="E19" s="6" t="str">
        <f t="shared" si="1"/>
        <v>Sat</v>
      </c>
      <c r="F19" s="6">
        <f t="shared" si="2"/>
        <v>40817</v>
      </c>
      <c r="G19">
        <f t="shared" si="3"/>
        <v>1</v>
      </c>
      <c r="H19">
        <f t="shared" si="4"/>
        <v>2011</v>
      </c>
      <c r="K19" s="5">
        <v>40817</v>
      </c>
      <c r="L19">
        <v>92657</v>
      </c>
      <c r="M19">
        <v>647840</v>
      </c>
      <c r="U19" s="5">
        <v>40817</v>
      </c>
      <c r="V19">
        <v>12520</v>
      </c>
      <c r="W19">
        <v>73773</v>
      </c>
      <c r="AD19" s="5">
        <v>40817</v>
      </c>
      <c r="AE19">
        <v>7286</v>
      </c>
      <c r="AF19">
        <v>39257</v>
      </c>
      <c r="AR19" s="5">
        <v>40817</v>
      </c>
      <c r="AS19">
        <v>63085</v>
      </c>
      <c r="AT19">
        <v>297984</v>
      </c>
      <c r="BA19" s="35">
        <v>40817</v>
      </c>
      <c r="BB19">
        <v>20329</v>
      </c>
      <c r="BC19">
        <v>181214</v>
      </c>
      <c r="BO19" s="5">
        <v>40817</v>
      </c>
      <c r="BP19">
        <v>8229997</v>
      </c>
      <c r="BQ19">
        <v>34707239</v>
      </c>
      <c r="BS19" s="5">
        <v>40817</v>
      </c>
      <c r="BT19">
        <v>8800</v>
      </c>
      <c r="BU19">
        <v>12069</v>
      </c>
      <c r="BW19" s="5">
        <v>40817</v>
      </c>
      <c r="BX19">
        <v>8170</v>
      </c>
      <c r="BY19">
        <v>10235</v>
      </c>
      <c r="CA19" s="5">
        <v>40817</v>
      </c>
      <c r="CB19">
        <v>8005</v>
      </c>
      <c r="CC19">
        <v>12405</v>
      </c>
      <c r="CE19" s="5">
        <v>40817</v>
      </c>
      <c r="CF19">
        <v>7458</v>
      </c>
      <c r="CG19">
        <v>10256</v>
      </c>
      <c r="CI19" s="5">
        <v>40817</v>
      </c>
      <c r="CJ19">
        <v>4020</v>
      </c>
      <c r="CK19">
        <v>4274</v>
      </c>
    </row>
    <row r="20" spans="1:89" x14ac:dyDescent="0.25">
      <c r="A20" t="str">
        <f>IF(Config!A20 &lt;&gt; "",Config!A20,"")</f>
        <v/>
      </c>
      <c r="B20" t="str">
        <f>IF(Config!B20&lt;&gt;"",Config!B20,"")</f>
        <v/>
      </c>
      <c r="D20" s="7">
        <f t="shared" si="0"/>
        <v>45</v>
      </c>
      <c r="E20" s="6" t="str">
        <f t="shared" si="1"/>
        <v>Tue</v>
      </c>
      <c r="F20" s="6">
        <f t="shared" si="2"/>
        <v>40848</v>
      </c>
      <c r="G20">
        <f t="shared" si="3"/>
        <v>1</v>
      </c>
      <c r="H20">
        <f t="shared" si="4"/>
        <v>2011</v>
      </c>
      <c r="K20" s="5">
        <v>40848</v>
      </c>
      <c r="L20">
        <v>152262</v>
      </c>
      <c r="M20">
        <v>936442</v>
      </c>
      <c r="U20" s="5">
        <v>40848</v>
      </c>
      <c r="V20">
        <v>14059</v>
      </c>
      <c r="W20">
        <v>82095</v>
      </c>
      <c r="AD20" s="5">
        <v>40848</v>
      </c>
      <c r="AE20">
        <v>8166</v>
      </c>
      <c r="AF20">
        <v>43837</v>
      </c>
      <c r="AR20" s="5">
        <v>40848</v>
      </c>
      <c r="AS20">
        <v>117680</v>
      </c>
      <c r="AT20">
        <v>473915</v>
      </c>
      <c r="BA20" s="35">
        <v>40848</v>
      </c>
      <c r="BB20">
        <v>26247</v>
      </c>
      <c r="BC20">
        <v>260636</v>
      </c>
      <c r="BO20" s="5">
        <v>40848</v>
      </c>
      <c r="BP20">
        <v>9230882</v>
      </c>
      <c r="BQ20">
        <v>38531090</v>
      </c>
      <c r="BS20" s="5">
        <v>40848</v>
      </c>
      <c r="BT20">
        <v>11103</v>
      </c>
      <c r="BU20">
        <v>16121</v>
      </c>
      <c r="BW20" s="5">
        <v>40848</v>
      </c>
      <c r="BX20">
        <v>10203</v>
      </c>
      <c r="BY20">
        <v>12979</v>
      </c>
      <c r="CA20" s="5">
        <v>40848</v>
      </c>
      <c r="CB20">
        <v>9924</v>
      </c>
      <c r="CC20">
        <v>15677</v>
      </c>
      <c r="CE20" s="5">
        <v>40848</v>
      </c>
      <c r="CF20">
        <v>9228</v>
      </c>
      <c r="CG20">
        <v>12328</v>
      </c>
      <c r="CI20" s="5">
        <v>40848</v>
      </c>
      <c r="CJ20">
        <v>5963</v>
      </c>
      <c r="CK20">
        <v>6317</v>
      </c>
    </row>
    <row r="21" spans="1:89" x14ac:dyDescent="0.25">
      <c r="A21" t="str">
        <f>IF(Config!A21 &lt;&gt; "",Config!A21,"")</f>
        <v/>
      </c>
      <c r="B21" t="str">
        <f>IF(Config!B21&lt;&gt;"",Config!B21,"")</f>
        <v/>
      </c>
      <c r="D21" s="7">
        <f t="shared" si="0"/>
        <v>49</v>
      </c>
      <c r="E21" s="6" t="str">
        <f t="shared" si="1"/>
        <v>Thu</v>
      </c>
      <c r="F21" s="6">
        <f t="shared" si="2"/>
        <v>40878</v>
      </c>
      <c r="G21">
        <f t="shared" si="3"/>
        <v>1</v>
      </c>
      <c r="H21">
        <f t="shared" si="4"/>
        <v>2011</v>
      </c>
      <c r="K21" s="5">
        <v>40878</v>
      </c>
      <c r="L21">
        <v>215766</v>
      </c>
      <c r="M21">
        <v>1068935</v>
      </c>
      <c r="U21" s="5">
        <v>40878</v>
      </c>
      <c r="V21">
        <v>12655</v>
      </c>
      <c r="W21">
        <v>69382</v>
      </c>
      <c r="AD21" s="5">
        <v>40878</v>
      </c>
      <c r="AE21">
        <v>6904</v>
      </c>
      <c r="AF21">
        <v>36349</v>
      </c>
      <c r="AR21" s="5">
        <v>40878</v>
      </c>
      <c r="AS21">
        <v>164306</v>
      </c>
      <c r="AT21">
        <v>596477</v>
      </c>
      <c r="BA21" s="35">
        <v>40878</v>
      </c>
      <c r="BB21">
        <v>45002</v>
      </c>
      <c r="BC21">
        <v>295117</v>
      </c>
      <c r="BO21" s="5">
        <v>40878</v>
      </c>
      <c r="BP21">
        <v>11398561</v>
      </c>
      <c r="BQ21">
        <v>46437980</v>
      </c>
      <c r="BS21" s="5">
        <v>40878</v>
      </c>
      <c r="BT21">
        <v>9847</v>
      </c>
      <c r="BU21">
        <v>14186</v>
      </c>
      <c r="BW21" s="5">
        <v>40878</v>
      </c>
      <c r="BX21">
        <v>8854</v>
      </c>
      <c r="BY21">
        <v>11192</v>
      </c>
      <c r="CA21" s="5">
        <v>40878</v>
      </c>
      <c r="CB21">
        <v>8599</v>
      </c>
      <c r="CC21">
        <v>13407</v>
      </c>
      <c r="CE21" s="5">
        <v>40878</v>
      </c>
      <c r="CF21">
        <v>7843</v>
      </c>
      <c r="CG21">
        <v>10124</v>
      </c>
      <c r="CI21" s="5">
        <v>40878</v>
      </c>
      <c r="CJ21">
        <v>4725</v>
      </c>
      <c r="CK21">
        <v>4976</v>
      </c>
    </row>
    <row r="22" spans="1:89" x14ac:dyDescent="0.25">
      <c r="A22" t="str">
        <f>IF(Config!A22 &lt;&gt; "",Config!A22,"")</f>
        <v/>
      </c>
      <c r="B22" t="str">
        <f>IF(Config!B22&lt;&gt;"",Config!B22,"")</f>
        <v/>
      </c>
      <c r="D22" s="7">
        <f t="shared" si="0"/>
        <v>1</v>
      </c>
      <c r="E22" s="6" t="str">
        <f t="shared" si="1"/>
        <v>Sun</v>
      </c>
      <c r="F22" s="6">
        <f t="shared" si="2"/>
        <v>40909</v>
      </c>
      <c r="G22">
        <f t="shared" si="3"/>
        <v>1</v>
      </c>
      <c r="H22">
        <f t="shared" si="4"/>
        <v>2012</v>
      </c>
      <c r="K22" s="5">
        <v>40909</v>
      </c>
      <c r="L22">
        <v>189849</v>
      </c>
      <c r="M22">
        <v>1564003</v>
      </c>
      <c r="U22" s="5">
        <v>40909</v>
      </c>
      <c r="V22">
        <v>12234</v>
      </c>
      <c r="W22">
        <v>72847</v>
      </c>
      <c r="AD22" s="5">
        <v>40909</v>
      </c>
      <c r="AE22">
        <v>7084</v>
      </c>
      <c r="AF22">
        <v>38681</v>
      </c>
      <c r="AR22" s="5">
        <v>40909</v>
      </c>
      <c r="AS22">
        <v>125098</v>
      </c>
      <c r="AT22">
        <v>650512</v>
      </c>
      <c r="BA22" s="35">
        <v>40909</v>
      </c>
      <c r="BB22">
        <v>68157</v>
      </c>
      <c r="BC22">
        <v>665805</v>
      </c>
      <c r="BO22" s="5">
        <v>40909</v>
      </c>
      <c r="BP22">
        <v>9517788</v>
      </c>
      <c r="BQ22">
        <v>39185790</v>
      </c>
      <c r="BS22" s="5">
        <v>40909</v>
      </c>
      <c r="BT22">
        <v>15633</v>
      </c>
      <c r="BU22">
        <v>24747</v>
      </c>
      <c r="BW22" s="5">
        <v>40909</v>
      </c>
      <c r="BX22">
        <v>14131</v>
      </c>
      <c r="BY22">
        <v>19004</v>
      </c>
      <c r="CA22" s="5">
        <v>40909</v>
      </c>
      <c r="CB22">
        <v>13700</v>
      </c>
      <c r="CC22">
        <v>24537</v>
      </c>
      <c r="CE22" s="5">
        <v>40909</v>
      </c>
      <c r="CF22">
        <v>12537</v>
      </c>
      <c r="CG22">
        <v>17495</v>
      </c>
      <c r="CI22" s="5">
        <v>40909</v>
      </c>
      <c r="CJ22">
        <v>9159</v>
      </c>
      <c r="CK22">
        <v>9850</v>
      </c>
    </row>
    <row r="23" spans="1:89" x14ac:dyDescent="0.25">
      <c r="A23" t="str">
        <f>IF(Config!A23 &lt;&gt; "",Config!A23,"")</f>
        <v/>
      </c>
      <c r="B23" t="str">
        <f>IF(Config!B23&lt;&gt;"",Config!B23,"")</f>
        <v/>
      </c>
      <c r="D23" s="7">
        <f t="shared" si="0"/>
        <v>5</v>
      </c>
      <c r="E23" s="6" t="str">
        <f t="shared" si="1"/>
        <v>Wed</v>
      </c>
      <c r="F23" s="6">
        <f t="shared" si="2"/>
        <v>40940</v>
      </c>
      <c r="G23">
        <f t="shared" si="3"/>
        <v>1</v>
      </c>
      <c r="H23">
        <f t="shared" si="4"/>
        <v>2012</v>
      </c>
      <c r="K23" s="5">
        <v>40940</v>
      </c>
      <c r="L23">
        <v>151785</v>
      </c>
      <c r="M23">
        <v>965378</v>
      </c>
      <c r="U23" s="5">
        <v>40940</v>
      </c>
      <c r="V23">
        <v>11005</v>
      </c>
      <c r="W23">
        <v>61711</v>
      </c>
      <c r="AD23" s="5">
        <v>40940</v>
      </c>
      <c r="AE23">
        <v>6501</v>
      </c>
      <c r="AF23">
        <v>32253</v>
      </c>
      <c r="AR23" s="5">
        <v>40940</v>
      </c>
      <c r="AS23">
        <v>106351</v>
      </c>
      <c r="AT23">
        <v>463277</v>
      </c>
      <c r="BA23" s="35">
        <v>40940</v>
      </c>
      <c r="BB23">
        <v>43621</v>
      </c>
      <c r="BC23">
        <v>328047</v>
      </c>
      <c r="BO23" s="5">
        <v>40940</v>
      </c>
      <c r="BP23">
        <v>8438208</v>
      </c>
      <c r="BQ23">
        <v>35286397</v>
      </c>
      <c r="BS23" s="5">
        <v>40940</v>
      </c>
      <c r="BT23">
        <v>11174</v>
      </c>
      <c r="BU23">
        <v>16510</v>
      </c>
      <c r="BW23" s="5">
        <v>40940</v>
      </c>
      <c r="BX23">
        <v>10073</v>
      </c>
      <c r="BY23">
        <v>13103</v>
      </c>
      <c r="CA23" s="5">
        <v>40940</v>
      </c>
      <c r="CB23">
        <v>9651</v>
      </c>
      <c r="CC23">
        <v>16431</v>
      </c>
      <c r="CE23" s="5">
        <v>40940</v>
      </c>
      <c r="CF23">
        <v>8958</v>
      </c>
      <c r="CG23">
        <v>12193</v>
      </c>
      <c r="CI23" s="5">
        <v>40940</v>
      </c>
      <c r="CJ23">
        <v>5796</v>
      </c>
      <c r="CK23">
        <v>6161</v>
      </c>
    </row>
    <row r="24" spans="1:89" x14ac:dyDescent="0.25">
      <c r="A24" t="str">
        <f>IF(Config!A24 &lt;&gt; "",Config!A24,"")</f>
        <v/>
      </c>
      <c r="B24" t="str">
        <f>IF(Config!B24&lt;&gt;"",Config!B24,"")</f>
        <v/>
      </c>
      <c r="D24" s="7">
        <f t="shared" si="0"/>
        <v>9</v>
      </c>
      <c r="E24" s="6" t="str">
        <f t="shared" si="1"/>
        <v>Thu</v>
      </c>
      <c r="F24" s="6">
        <f t="shared" si="2"/>
        <v>40969</v>
      </c>
      <c r="G24">
        <f t="shared" si="3"/>
        <v>1</v>
      </c>
      <c r="H24">
        <f t="shared" si="4"/>
        <v>2012</v>
      </c>
      <c r="K24" s="5">
        <v>40969</v>
      </c>
      <c r="L24">
        <v>187642</v>
      </c>
      <c r="M24">
        <v>1109319</v>
      </c>
      <c r="U24" s="5">
        <v>40969</v>
      </c>
      <c r="V24">
        <v>11935</v>
      </c>
      <c r="W24">
        <v>66266</v>
      </c>
      <c r="AD24" s="5">
        <v>40969</v>
      </c>
      <c r="AE24">
        <v>6753</v>
      </c>
      <c r="AF24">
        <v>33468</v>
      </c>
      <c r="AR24" s="5">
        <v>40969</v>
      </c>
      <c r="AS24">
        <v>120820</v>
      </c>
      <c r="AT24">
        <v>464028</v>
      </c>
      <c r="BA24" s="35">
        <v>40969</v>
      </c>
      <c r="BB24">
        <v>63664</v>
      </c>
      <c r="BC24">
        <v>446458</v>
      </c>
      <c r="BO24" s="5">
        <v>40969</v>
      </c>
      <c r="BP24">
        <v>8823939</v>
      </c>
      <c r="BQ24">
        <v>37153916</v>
      </c>
      <c r="BS24" s="5">
        <v>40969</v>
      </c>
      <c r="BT24">
        <v>12380</v>
      </c>
      <c r="BU24">
        <v>17820</v>
      </c>
      <c r="BW24" s="5">
        <v>40969</v>
      </c>
      <c r="BX24">
        <v>11449</v>
      </c>
      <c r="BY24">
        <v>14393</v>
      </c>
      <c r="CA24" s="5">
        <v>40969</v>
      </c>
      <c r="CB24">
        <v>11220</v>
      </c>
      <c r="CC24">
        <v>19051</v>
      </c>
      <c r="CE24" s="5">
        <v>40969</v>
      </c>
      <c r="CF24">
        <v>10064</v>
      </c>
      <c r="CG24">
        <v>13479</v>
      </c>
      <c r="CI24" s="5">
        <v>40969</v>
      </c>
      <c r="CJ24">
        <v>6862</v>
      </c>
      <c r="CK24">
        <v>7226</v>
      </c>
    </row>
    <row r="25" spans="1:89" x14ac:dyDescent="0.25">
      <c r="A25" t="str">
        <f>IF(Config!A25 &lt;&gt; "",Config!A25,"")</f>
        <v/>
      </c>
      <c r="B25" t="str">
        <f>IF(Config!B25&lt;&gt;"",Config!B25,"")</f>
        <v/>
      </c>
      <c r="D25" s="7">
        <f t="shared" si="0"/>
        <v>14</v>
      </c>
      <c r="E25" s="6" t="str">
        <f t="shared" si="1"/>
        <v>Sun</v>
      </c>
      <c r="F25" s="6">
        <f t="shared" si="2"/>
        <v>41000</v>
      </c>
      <c r="G25">
        <f t="shared" si="3"/>
        <v>1</v>
      </c>
      <c r="H25">
        <f t="shared" si="4"/>
        <v>2012</v>
      </c>
      <c r="K25" s="5">
        <v>41000</v>
      </c>
      <c r="L25">
        <v>203444</v>
      </c>
      <c r="M25">
        <v>1129249</v>
      </c>
      <c r="U25" s="5">
        <v>41000</v>
      </c>
      <c r="V25">
        <v>9587</v>
      </c>
      <c r="W25">
        <v>53895</v>
      </c>
      <c r="AD25" s="5">
        <v>41000</v>
      </c>
      <c r="AE25">
        <v>6609</v>
      </c>
      <c r="AF25">
        <v>30833</v>
      </c>
      <c r="AR25" s="5">
        <v>41000</v>
      </c>
      <c r="AS25">
        <v>142627</v>
      </c>
      <c r="AT25">
        <v>509791</v>
      </c>
      <c r="BA25" s="35">
        <v>41000</v>
      </c>
      <c r="BB25">
        <v>63768</v>
      </c>
      <c r="BC25">
        <v>446331</v>
      </c>
      <c r="BO25" s="5">
        <v>41000</v>
      </c>
      <c r="BP25">
        <v>8726283</v>
      </c>
      <c r="BQ25">
        <v>36487083</v>
      </c>
      <c r="BS25" s="5">
        <v>41000</v>
      </c>
      <c r="BT25">
        <v>12343</v>
      </c>
      <c r="BU25">
        <v>20139</v>
      </c>
      <c r="BW25" s="5">
        <v>41000</v>
      </c>
      <c r="BX25">
        <v>11103</v>
      </c>
      <c r="BY25">
        <v>14935</v>
      </c>
      <c r="CA25" s="5">
        <v>41000</v>
      </c>
      <c r="CB25">
        <v>10795</v>
      </c>
      <c r="CC25">
        <v>19788</v>
      </c>
      <c r="CE25" s="5">
        <v>41000</v>
      </c>
      <c r="CF25">
        <v>9736</v>
      </c>
      <c r="CG25">
        <v>13740</v>
      </c>
      <c r="CI25" s="5">
        <v>41000</v>
      </c>
      <c r="CJ25">
        <v>7749</v>
      </c>
      <c r="CK25">
        <v>8194</v>
      </c>
    </row>
    <row r="26" spans="1:89" x14ac:dyDescent="0.25">
      <c r="A26" t="str">
        <f>IF(Config!A26 &lt;&gt; "",Config!A26,"")</f>
        <v/>
      </c>
      <c r="B26" t="str">
        <f>IF(Config!B26&lt;&gt;"",Config!B26,"")</f>
        <v/>
      </c>
      <c r="D26" s="7">
        <f t="shared" si="0"/>
        <v>18</v>
      </c>
      <c r="E26" s="6" t="str">
        <f t="shared" si="1"/>
        <v>Tue</v>
      </c>
      <c r="F26" s="6">
        <f t="shared" si="2"/>
        <v>41030</v>
      </c>
      <c r="G26">
        <f t="shared" si="3"/>
        <v>1</v>
      </c>
      <c r="H26">
        <f t="shared" si="4"/>
        <v>2012</v>
      </c>
      <c r="K26" s="5">
        <v>41030</v>
      </c>
      <c r="L26">
        <v>191532</v>
      </c>
      <c r="M26">
        <v>951686</v>
      </c>
      <c r="U26" s="5">
        <v>41030</v>
      </c>
      <c r="V26">
        <v>8874</v>
      </c>
      <c r="W26">
        <v>49396</v>
      </c>
      <c r="AD26" s="5">
        <v>41030</v>
      </c>
      <c r="AE26">
        <v>6740</v>
      </c>
      <c r="AF26">
        <v>32493</v>
      </c>
      <c r="AR26" s="5">
        <v>41030</v>
      </c>
      <c r="AS26">
        <v>149986</v>
      </c>
      <c r="AT26">
        <v>494315</v>
      </c>
      <c r="BA26" s="35">
        <v>41030</v>
      </c>
      <c r="BB26">
        <v>39710</v>
      </c>
      <c r="BC26">
        <v>307741</v>
      </c>
      <c r="BO26" s="5">
        <v>41030</v>
      </c>
      <c r="BP26">
        <v>8934528</v>
      </c>
      <c r="BQ26">
        <v>36859708</v>
      </c>
      <c r="BS26" s="5">
        <v>41030</v>
      </c>
      <c r="BT26">
        <v>9118</v>
      </c>
      <c r="BU26">
        <v>14803</v>
      </c>
      <c r="BW26" s="5">
        <v>41030</v>
      </c>
      <c r="BX26">
        <v>8088</v>
      </c>
      <c r="BY26">
        <v>10937</v>
      </c>
      <c r="CA26" s="5">
        <v>41030</v>
      </c>
      <c r="CB26">
        <v>7894</v>
      </c>
      <c r="CC26">
        <v>14591</v>
      </c>
      <c r="CE26" s="5">
        <v>41030</v>
      </c>
      <c r="CF26">
        <v>7108</v>
      </c>
      <c r="CG26">
        <v>10501</v>
      </c>
      <c r="CI26" s="5">
        <v>41030</v>
      </c>
      <c r="CJ26">
        <v>6528</v>
      </c>
      <c r="CK26">
        <v>6907</v>
      </c>
    </row>
    <row r="27" spans="1:89" x14ac:dyDescent="0.25">
      <c r="A27" t="str">
        <f>IF(Config!A27 &lt;&gt; "",Config!A27,"")</f>
        <v/>
      </c>
      <c r="B27" t="str">
        <f>IF(Config!B27&lt;&gt;"",Config!B27,"")</f>
        <v/>
      </c>
      <c r="D27" s="7">
        <f t="shared" si="0"/>
        <v>22</v>
      </c>
      <c r="E27" s="6" t="str">
        <f t="shared" si="1"/>
        <v>Fri</v>
      </c>
      <c r="F27" s="6">
        <f t="shared" si="2"/>
        <v>41061</v>
      </c>
      <c r="G27">
        <f t="shared" si="3"/>
        <v>1</v>
      </c>
      <c r="H27">
        <f t="shared" si="4"/>
        <v>2012</v>
      </c>
      <c r="K27" s="5">
        <v>41061</v>
      </c>
      <c r="L27">
        <v>189192</v>
      </c>
      <c r="M27">
        <v>939399</v>
      </c>
      <c r="U27" s="5">
        <v>41061</v>
      </c>
      <c r="V27">
        <v>7766</v>
      </c>
      <c r="W27">
        <v>43959</v>
      </c>
      <c r="AD27" s="5">
        <v>41061</v>
      </c>
      <c r="AE27">
        <v>6172</v>
      </c>
      <c r="AF27">
        <v>28958</v>
      </c>
      <c r="AR27" s="5">
        <v>41061</v>
      </c>
      <c r="AS27">
        <v>156845</v>
      </c>
      <c r="AT27">
        <v>512183</v>
      </c>
      <c r="BA27" s="35">
        <v>41061</v>
      </c>
      <c r="BB27">
        <v>32194</v>
      </c>
      <c r="BC27">
        <v>291300</v>
      </c>
      <c r="BO27" s="5">
        <v>41061</v>
      </c>
      <c r="BP27">
        <v>8406090</v>
      </c>
      <c r="BQ27">
        <v>34171684</v>
      </c>
      <c r="BS27" s="5">
        <v>41061</v>
      </c>
      <c r="BT27">
        <v>8295</v>
      </c>
      <c r="BU27">
        <v>13736</v>
      </c>
      <c r="BW27" s="5">
        <v>41061</v>
      </c>
      <c r="BX27">
        <v>7403</v>
      </c>
      <c r="BY27">
        <v>10106</v>
      </c>
      <c r="CA27" s="5">
        <v>41061</v>
      </c>
      <c r="CB27">
        <v>7178</v>
      </c>
      <c r="CC27">
        <v>13513</v>
      </c>
      <c r="CE27" s="5">
        <v>41061</v>
      </c>
      <c r="CF27">
        <v>6512</v>
      </c>
      <c r="CG27">
        <v>9572</v>
      </c>
      <c r="CI27" s="5">
        <v>41061</v>
      </c>
      <c r="CJ27">
        <v>6038</v>
      </c>
      <c r="CK27">
        <v>6396</v>
      </c>
    </row>
    <row r="28" spans="1:89" x14ac:dyDescent="0.25">
      <c r="A28" t="str">
        <f>IF(Config!A28 &lt;&gt; "",Config!A28,"")</f>
        <v/>
      </c>
      <c r="B28" t="str">
        <f>IF(Config!B28&lt;&gt;"",Config!B28,"")</f>
        <v/>
      </c>
      <c r="D28" s="7">
        <f t="shared" si="0"/>
        <v>27</v>
      </c>
      <c r="E28" s="6" t="str">
        <f t="shared" si="1"/>
        <v>Sun</v>
      </c>
      <c r="F28" s="6">
        <f t="shared" si="2"/>
        <v>41091</v>
      </c>
      <c r="G28">
        <f t="shared" si="3"/>
        <v>1</v>
      </c>
      <c r="H28">
        <f t="shared" si="4"/>
        <v>2012</v>
      </c>
      <c r="K28" s="5">
        <v>41091</v>
      </c>
      <c r="L28">
        <v>189710</v>
      </c>
      <c r="M28">
        <v>887596</v>
      </c>
      <c r="U28" s="5">
        <v>41091</v>
      </c>
      <c r="V28">
        <v>6741</v>
      </c>
      <c r="W28">
        <v>38119</v>
      </c>
      <c r="AD28" s="5">
        <v>41091</v>
      </c>
      <c r="AE28">
        <v>5721</v>
      </c>
      <c r="AF28">
        <v>24970</v>
      </c>
      <c r="AR28" s="5">
        <v>41091</v>
      </c>
      <c r="AS28">
        <v>136759</v>
      </c>
      <c r="AT28">
        <v>430225</v>
      </c>
      <c r="BA28" s="35">
        <v>41091</v>
      </c>
      <c r="BB28">
        <v>34094</v>
      </c>
      <c r="BC28">
        <v>253329</v>
      </c>
      <c r="BO28" s="5">
        <v>41091</v>
      </c>
      <c r="BP28">
        <v>8392122</v>
      </c>
      <c r="BQ28">
        <v>33755113</v>
      </c>
      <c r="BS28" s="5">
        <v>41091</v>
      </c>
      <c r="BT28">
        <v>8021</v>
      </c>
      <c r="BU28">
        <v>12724</v>
      </c>
      <c r="BW28" s="5">
        <v>41091</v>
      </c>
      <c r="BX28">
        <v>7093</v>
      </c>
      <c r="BY28">
        <v>9328</v>
      </c>
      <c r="CA28" s="5">
        <v>41091</v>
      </c>
      <c r="CB28">
        <v>6885</v>
      </c>
      <c r="CC28">
        <v>12565</v>
      </c>
      <c r="CE28" s="5">
        <v>41091</v>
      </c>
      <c r="CF28">
        <v>6166</v>
      </c>
      <c r="CG28">
        <v>8604</v>
      </c>
      <c r="CI28" s="5">
        <v>41091</v>
      </c>
      <c r="CJ28">
        <v>5620</v>
      </c>
      <c r="CK28">
        <v>5883</v>
      </c>
    </row>
    <row r="29" spans="1:89" x14ac:dyDescent="0.25">
      <c r="A29" t="str">
        <f>IF(Config!A29 &lt;&gt; "",Config!A29,"")</f>
        <v/>
      </c>
      <c r="B29" t="str">
        <f>IF(Config!B29&lt;&gt;"",Config!B29,"")</f>
        <v/>
      </c>
      <c r="D29" s="7">
        <f t="shared" si="0"/>
        <v>31</v>
      </c>
      <c r="E29" s="6" t="str">
        <f t="shared" si="1"/>
        <v>Wed</v>
      </c>
      <c r="F29" s="6">
        <f t="shared" si="2"/>
        <v>41122</v>
      </c>
      <c r="G29">
        <f t="shared" si="3"/>
        <v>1</v>
      </c>
      <c r="H29">
        <f t="shared" si="4"/>
        <v>2012</v>
      </c>
      <c r="K29" s="5">
        <v>41122</v>
      </c>
      <c r="L29">
        <v>186149</v>
      </c>
      <c r="M29">
        <v>803674</v>
      </c>
      <c r="U29" s="5">
        <v>41122</v>
      </c>
      <c r="V29">
        <v>1351</v>
      </c>
      <c r="W29">
        <v>2120</v>
      </c>
      <c r="AD29" s="5">
        <v>41122</v>
      </c>
      <c r="AE29">
        <v>3895</v>
      </c>
      <c r="AF29">
        <v>4841</v>
      </c>
      <c r="AR29" s="5">
        <v>41122</v>
      </c>
      <c r="AS29">
        <v>6095</v>
      </c>
      <c r="AT29">
        <v>8057</v>
      </c>
      <c r="BA29" s="35">
        <v>41122</v>
      </c>
      <c r="BB29">
        <v>3108</v>
      </c>
      <c r="BC29">
        <v>4363</v>
      </c>
      <c r="BO29" s="5">
        <v>41122</v>
      </c>
      <c r="BP29">
        <v>8732330</v>
      </c>
      <c r="BQ29">
        <v>34853230</v>
      </c>
      <c r="BS29" s="5">
        <v>41122</v>
      </c>
      <c r="BT29">
        <v>8134</v>
      </c>
      <c r="BU29">
        <v>13035</v>
      </c>
      <c r="BW29" s="5">
        <v>41122</v>
      </c>
      <c r="BX29">
        <v>6957</v>
      </c>
      <c r="BY29">
        <v>9175</v>
      </c>
      <c r="CA29" s="5">
        <v>41122</v>
      </c>
      <c r="CB29">
        <v>6770</v>
      </c>
      <c r="CC29">
        <v>12183</v>
      </c>
      <c r="CE29" s="5">
        <v>41122</v>
      </c>
      <c r="CF29">
        <v>6076</v>
      </c>
      <c r="CG29">
        <v>8555</v>
      </c>
      <c r="CI29" s="5">
        <v>41122</v>
      </c>
      <c r="CJ29">
        <v>5564</v>
      </c>
      <c r="CK29">
        <v>5807</v>
      </c>
    </row>
    <row r="30" spans="1:89" x14ac:dyDescent="0.25">
      <c r="A30" t="str">
        <f>IF(Config!A30 &lt;&gt; "",Config!A30,"")</f>
        <v/>
      </c>
      <c r="B30" t="str">
        <f>IF(Config!B30&lt;&gt;"",Config!B30,"")</f>
        <v/>
      </c>
      <c r="D30" s="7">
        <f t="shared" si="0"/>
        <v>35</v>
      </c>
      <c r="E30" s="6" t="str">
        <f t="shared" si="1"/>
        <v>Sat</v>
      </c>
      <c r="F30" s="6">
        <f t="shared" si="2"/>
        <v>41153</v>
      </c>
      <c r="G30">
        <f t="shared" si="3"/>
        <v>1</v>
      </c>
      <c r="H30">
        <f t="shared" si="4"/>
        <v>2012</v>
      </c>
      <c r="K30" s="5">
        <v>41153</v>
      </c>
      <c r="L30">
        <v>189705</v>
      </c>
      <c r="M30">
        <v>798669</v>
      </c>
      <c r="U30" s="5">
        <v>41153</v>
      </c>
      <c r="V30">
        <v>1354</v>
      </c>
      <c r="W30">
        <v>2060</v>
      </c>
      <c r="AD30" s="5">
        <v>41153</v>
      </c>
      <c r="AE30">
        <v>3858</v>
      </c>
      <c r="AF30">
        <v>4737</v>
      </c>
      <c r="AR30" s="5">
        <v>41153</v>
      </c>
      <c r="AS30">
        <v>5244</v>
      </c>
      <c r="AT30">
        <v>6875</v>
      </c>
      <c r="BA30" s="35">
        <v>41153</v>
      </c>
      <c r="BB30">
        <v>3117</v>
      </c>
      <c r="BC30">
        <v>4241</v>
      </c>
      <c r="BO30" s="5">
        <v>41153</v>
      </c>
      <c r="BP30">
        <v>8584349</v>
      </c>
      <c r="BQ30">
        <v>33448479</v>
      </c>
      <c r="BS30" s="5">
        <v>41153</v>
      </c>
      <c r="BT30">
        <v>8384</v>
      </c>
      <c r="BU30">
        <v>13236</v>
      </c>
      <c r="BW30" s="5">
        <v>41153</v>
      </c>
      <c r="BX30">
        <v>5406</v>
      </c>
      <c r="BY30">
        <v>7069</v>
      </c>
      <c r="CA30" s="5">
        <v>41153</v>
      </c>
      <c r="CB30">
        <v>7284</v>
      </c>
      <c r="CC30">
        <v>12865</v>
      </c>
      <c r="CE30" s="5">
        <v>41153</v>
      </c>
      <c r="CF30">
        <v>6546</v>
      </c>
      <c r="CG30">
        <v>9079</v>
      </c>
      <c r="CI30" s="5">
        <v>41153</v>
      </c>
      <c r="CJ30">
        <v>6026</v>
      </c>
      <c r="CK30">
        <v>6277</v>
      </c>
    </row>
    <row r="31" spans="1:89" x14ac:dyDescent="0.25">
      <c r="D31" s="7"/>
      <c r="E31" s="6"/>
      <c r="F31" s="6">
        <f t="shared" si="2"/>
        <v>41000</v>
      </c>
      <c r="K31" s="5">
        <v>41000</v>
      </c>
      <c r="L31">
        <v>5946</v>
      </c>
      <c r="M31">
        <v>38959</v>
      </c>
      <c r="U31" s="5">
        <v>41000</v>
      </c>
      <c r="V31">
        <v>226</v>
      </c>
      <c r="W31">
        <v>1106</v>
      </c>
      <c r="AD31" s="5">
        <v>41000</v>
      </c>
      <c r="AE31">
        <v>85</v>
      </c>
      <c r="AF31">
        <v>477</v>
      </c>
      <c r="AR31" s="5">
        <v>41000</v>
      </c>
      <c r="AS31">
        <v>4120</v>
      </c>
      <c r="AT31">
        <v>16029</v>
      </c>
      <c r="BA31" s="35">
        <v>41000</v>
      </c>
      <c r="BB31">
        <v>1939</v>
      </c>
      <c r="BC31">
        <v>17824</v>
      </c>
      <c r="BO31" s="5">
        <v>41000</v>
      </c>
      <c r="BP31">
        <v>155445</v>
      </c>
      <c r="BQ31">
        <v>625714</v>
      </c>
      <c r="BS31" s="5">
        <v>41000</v>
      </c>
      <c r="BT31">
        <v>389</v>
      </c>
      <c r="BU31">
        <v>633</v>
      </c>
      <c r="BW31" s="5">
        <v>41000</v>
      </c>
      <c r="BX31">
        <v>363</v>
      </c>
      <c r="BY31">
        <v>477</v>
      </c>
      <c r="CA31" s="5">
        <v>41000</v>
      </c>
      <c r="CB31">
        <v>361</v>
      </c>
      <c r="CC31">
        <v>641</v>
      </c>
      <c r="CE31" s="5">
        <v>41000</v>
      </c>
      <c r="CF31">
        <v>320</v>
      </c>
      <c r="CG31">
        <v>502</v>
      </c>
      <c r="CI31" s="5">
        <v>41000</v>
      </c>
      <c r="CJ31">
        <v>187</v>
      </c>
      <c r="CK31">
        <v>206</v>
      </c>
    </row>
    <row r="32" spans="1:89" x14ac:dyDescent="0.25">
      <c r="A32" t="str">
        <f>IF(Config!A32 &lt;&gt; "",Config!A32,"")</f>
        <v/>
      </c>
      <c r="B32" t="str">
        <f>IF(Config!B32&lt;&gt;"",Config!B32,"")</f>
        <v/>
      </c>
      <c r="D32" s="7" t="str">
        <f t="shared" si="0"/>
        <v/>
      </c>
      <c r="E32" s="6" t="str">
        <f t="shared" si="1"/>
        <v/>
      </c>
      <c r="F32" t="str">
        <f t="shared" ref="F32:F71" si="5">IF(K32&lt;&gt;"",MONTH(K32),"")</f>
        <v/>
      </c>
      <c r="G32" t="str">
        <f t="shared" si="3"/>
        <v/>
      </c>
      <c r="H32" t="str">
        <f t="shared" si="4"/>
        <v/>
      </c>
      <c r="K32" s="5"/>
      <c r="U32" s="5"/>
      <c r="AD32" s="5"/>
      <c r="AR32" s="5"/>
      <c r="BA32" s="35"/>
      <c r="BO32" s="5"/>
      <c r="BS32" s="5"/>
      <c r="BW32" s="5"/>
      <c r="CA32" s="5"/>
      <c r="CE32" s="5"/>
      <c r="CI32" s="5"/>
    </row>
    <row r="33" spans="1:87" x14ac:dyDescent="0.25">
      <c r="A33" t="str">
        <f>IF(Config!A33 &lt;&gt; "",Config!A33,"")</f>
        <v/>
      </c>
      <c r="B33" t="str">
        <f>IF(Config!B33&lt;&gt;"",Config!B33,"")</f>
        <v/>
      </c>
      <c r="D33" s="7" t="str">
        <f t="shared" si="0"/>
        <v/>
      </c>
      <c r="E33" s="6" t="str">
        <f t="shared" si="1"/>
        <v/>
      </c>
      <c r="F33" t="str">
        <f t="shared" si="5"/>
        <v/>
      </c>
      <c r="G33" t="str">
        <f t="shared" si="3"/>
        <v/>
      </c>
      <c r="H33" t="str">
        <f t="shared" si="4"/>
        <v/>
      </c>
      <c r="K33" s="5"/>
      <c r="U33" s="5"/>
      <c r="AD33" s="5"/>
      <c r="AR33" s="5"/>
      <c r="BA33" s="35"/>
      <c r="BO33" s="5"/>
      <c r="BS33" s="5"/>
      <c r="BW33" s="5"/>
      <c r="CA33" s="5"/>
      <c r="CE33" s="5"/>
      <c r="CI33" s="5"/>
    </row>
    <row r="34" spans="1:87" x14ac:dyDescent="0.25">
      <c r="A34" t="str">
        <f>IF(Config!A34 &lt;&gt; "",Config!A34,"")</f>
        <v/>
      </c>
      <c r="B34" t="str">
        <f>IF(Config!B34&lt;&gt;"",Config!B34,"")</f>
        <v/>
      </c>
      <c r="D34" s="7" t="str">
        <f t="shared" si="0"/>
        <v/>
      </c>
      <c r="E34" s="6" t="str">
        <f t="shared" si="1"/>
        <v/>
      </c>
      <c r="F34" t="str">
        <f t="shared" si="5"/>
        <v/>
      </c>
      <c r="G34" t="str">
        <f t="shared" si="3"/>
        <v/>
      </c>
      <c r="H34" t="str">
        <f t="shared" si="4"/>
        <v/>
      </c>
      <c r="K34" s="5"/>
      <c r="U34" s="5"/>
      <c r="AD34" s="5"/>
      <c r="AR34" s="5"/>
      <c r="BA34" s="35"/>
      <c r="BO34" s="5"/>
      <c r="BQ34" s="41"/>
      <c r="BS34" s="5"/>
      <c r="BW34" s="5"/>
      <c r="CA34" s="5"/>
      <c r="CE34" s="5"/>
      <c r="CI34" s="5"/>
    </row>
    <row r="35" spans="1:87" x14ac:dyDescent="0.25">
      <c r="A35" t="str">
        <f>IF(Config!A35 &lt;&gt; "",Config!A35,"")</f>
        <v/>
      </c>
      <c r="B35" t="str">
        <f>IF(Config!B35&lt;&gt;"",Config!B35,"")</f>
        <v/>
      </c>
      <c r="D35" s="7" t="str">
        <f t="shared" si="0"/>
        <v/>
      </c>
      <c r="E35" s="6" t="str">
        <f t="shared" si="1"/>
        <v/>
      </c>
      <c r="F35" t="str">
        <f t="shared" si="5"/>
        <v/>
      </c>
      <c r="G35" t="str">
        <f t="shared" si="3"/>
        <v/>
      </c>
      <c r="H35" t="str">
        <f t="shared" si="4"/>
        <v/>
      </c>
      <c r="K35" s="5"/>
      <c r="U35" s="5"/>
      <c r="AD35" s="5"/>
      <c r="AR35" s="5"/>
      <c r="BA35" s="35"/>
      <c r="BO35" s="5"/>
      <c r="BS35" s="5"/>
      <c r="BW35" s="5"/>
      <c r="CA35" s="5"/>
      <c r="CE35" s="5"/>
      <c r="CI35" s="5"/>
    </row>
    <row r="36" spans="1:87" x14ac:dyDescent="0.25">
      <c r="A36" t="str">
        <f>IF(Config!A36 &lt;&gt; "",Config!A36,"")</f>
        <v/>
      </c>
      <c r="B36" t="str">
        <f>IF(Config!B36&lt;&gt;"",Config!B36,"")</f>
        <v/>
      </c>
      <c r="D36" s="7" t="str">
        <f t="shared" si="0"/>
        <v/>
      </c>
      <c r="E36" s="6" t="str">
        <f t="shared" si="1"/>
        <v/>
      </c>
      <c r="F36" t="str">
        <f t="shared" si="5"/>
        <v/>
      </c>
      <c r="G36" t="str">
        <f t="shared" si="3"/>
        <v/>
      </c>
      <c r="H36" t="str">
        <f t="shared" si="4"/>
        <v/>
      </c>
      <c r="K36" s="5"/>
      <c r="U36" s="5"/>
      <c r="AD36" s="5"/>
      <c r="AR36" s="5"/>
      <c r="BA36" s="35"/>
      <c r="BO36" s="5"/>
      <c r="BS36" s="5"/>
      <c r="BW36" s="5"/>
      <c r="CA36" s="5"/>
      <c r="CE36" s="5"/>
      <c r="CI36" s="5"/>
    </row>
    <row r="37" spans="1:87" x14ac:dyDescent="0.25">
      <c r="A37" t="str">
        <f>IF(Config!A37 &lt;&gt; "",Config!A37,"")</f>
        <v/>
      </c>
      <c r="B37" t="str">
        <f>IF(Config!B37&lt;&gt;"",Config!B37,"")</f>
        <v/>
      </c>
      <c r="D37" s="7" t="str">
        <f t="shared" si="0"/>
        <v/>
      </c>
      <c r="E37" s="6" t="str">
        <f t="shared" si="1"/>
        <v/>
      </c>
      <c r="F37" t="str">
        <f t="shared" si="5"/>
        <v/>
      </c>
      <c r="G37" t="str">
        <f t="shared" si="3"/>
        <v/>
      </c>
      <c r="H37" t="str">
        <f t="shared" si="4"/>
        <v/>
      </c>
      <c r="K37" s="5"/>
      <c r="U37" s="5"/>
      <c r="AD37" s="5"/>
      <c r="AR37" s="5"/>
      <c r="BA37" s="35"/>
      <c r="BO37" s="5"/>
      <c r="BS37" s="5"/>
      <c r="BW37" s="5"/>
      <c r="CA37" s="5"/>
      <c r="CE37" s="5"/>
      <c r="CI37" s="5"/>
    </row>
    <row r="38" spans="1:87" x14ac:dyDescent="0.25">
      <c r="A38" t="str">
        <f>IF(Config!A38 &lt;&gt; "",Config!A38,"")</f>
        <v/>
      </c>
      <c r="B38" t="str">
        <f>IF(Config!B38&lt;&gt;"",Config!B38,"")</f>
        <v/>
      </c>
      <c r="D38" s="7" t="str">
        <f t="shared" si="0"/>
        <v/>
      </c>
      <c r="E38" s="6" t="str">
        <f t="shared" si="1"/>
        <v/>
      </c>
      <c r="F38" t="str">
        <f t="shared" si="5"/>
        <v/>
      </c>
      <c r="G38" t="str">
        <f t="shared" si="3"/>
        <v/>
      </c>
      <c r="H38" t="str">
        <f t="shared" si="4"/>
        <v/>
      </c>
      <c r="K38" s="5"/>
      <c r="L38" s="8"/>
      <c r="U38" s="5"/>
      <c r="AD38" s="5"/>
      <c r="AR38" s="5"/>
      <c r="BA38" s="35"/>
      <c r="BO38" s="5"/>
      <c r="BS38" s="5"/>
      <c r="BW38" s="5"/>
      <c r="CA38" s="5"/>
      <c r="CE38" s="5"/>
      <c r="CI38" s="5"/>
    </row>
    <row r="39" spans="1:87" x14ac:dyDescent="0.25">
      <c r="A39" t="str">
        <f>IF(Config!A39 &lt;&gt; "",Config!A39,"")</f>
        <v/>
      </c>
      <c r="B39" t="str">
        <f>IF(Config!B39&lt;&gt;"",Config!B39,"")</f>
        <v/>
      </c>
      <c r="D39" s="7" t="str">
        <f t="shared" si="0"/>
        <v/>
      </c>
      <c r="E39" s="6" t="str">
        <f t="shared" si="1"/>
        <v/>
      </c>
      <c r="F39" t="str">
        <f t="shared" si="5"/>
        <v/>
      </c>
      <c r="G39" t="str">
        <f t="shared" si="3"/>
        <v/>
      </c>
      <c r="H39" t="str">
        <f t="shared" si="4"/>
        <v/>
      </c>
      <c r="K39" s="5"/>
      <c r="U39" s="5"/>
      <c r="AD39" s="5"/>
      <c r="AR39" s="5"/>
      <c r="BA39" s="35"/>
      <c r="BO39" s="5"/>
      <c r="BS39" s="5"/>
      <c r="BW39" s="5"/>
      <c r="CA39" s="5"/>
      <c r="CE39" s="5"/>
      <c r="CI39" s="5"/>
    </row>
    <row r="40" spans="1:87" x14ac:dyDescent="0.25">
      <c r="A40" t="str">
        <f>IF(Config!A40 &lt;&gt; "",Config!A40,"")</f>
        <v/>
      </c>
      <c r="B40" t="str">
        <f>IF(Config!B40&lt;&gt;"",Config!B40,"")</f>
        <v/>
      </c>
      <c r="D40" s="7" t="str">
        <f t="shared" si="0"/>
        <v/>
      </c>
      <c r="E40" s="6" t="str">
        <f t="shared" si="1"/>
        <v/>
      </c>
      <c r="F40" t="str">
        <f t="shared" si="5"/>
        <v/>
      </c>
      <c r="G40" t="str">
        <f t="shared" si="3"/>
        <v/>
      </c>
      <c r="H40" t="str">
        <f t="shared" si="4"/>
        <v/>
      </c>
      <c r="K40" s="5"/>
      <c r="U40" s="5"/>
      <c r="AD40" s="5"/>
      <c r="AR40" s="5"/>
      <c r="BA40" s="35"/>
      <c r="BO40" s="5"/>
      <c r="BS40" s="5"/>
      <c r="BW40" s="5"/>
      <c r="CA40" s="5"/>
      <c r="CE40" s="5"/>
      <c r="CI40" s="5"/>
    </row>
    <row r="41" spans="1:87" x14ac:dyDescent="0.25">
      <c r="A41" t="str">
        <f>IF(Config!A41 &lt;&gt; "",Config!A41,"")</f>
        <v/>
      </c>
      <c r="B41" t="str">
        <f>IF(Config!B41&lt;&gt;"",Config!B41,"")</f>
        <v/>
      </c>
      <c r="D41" s="7" t="str">
        <f t="shared" si="0"/>
        <v/>
      </c>
      <c r="E41" s="6" t="str">
        <f t="shared" si="1"/>
        <v/>
      </c>
      <c r="F41" t="str">
        <f t="shared" si="5"/>
        <v/>
      </c>
      <c r="G41" t="str">
        <f t="shared" si="3"/>
        <v/>
      </c>
      <c r="H41" t="str">
        <f t="shared" si="4"/>
        <v/>
      </c>
      <c r="K41" s="5"/>
      <c r="U41" s="5"/>
      <c r="AD41" s="5"/>
      <c r="AR41" s="5"/>
      <c r="BA41" s="35"/>
      <c r="BO41" s="5"/>
      <c r="BS41" s="5"/>
      <c r="BW41" s="5"/>
      <c r="CA41" s="5"/>
      <c r="CE41" s="5"/>
      <c r="CI41" s="5"/>
    </row>
    <row r="42" spans="1:87" x14ac:dyDescent="0.25">
      <c r="D42" s="7" t="str">
        <f t="shared" si="0"/>
        <v/>
      </c>
      <c r="E42" s="6" t="str">
        <f t="shared" si="1"/>
        <v/>
      </c>
      <c r="F42" t="str">
        <f t="shared" si="5"/>
        <v/>
      </c>
      <c r="G42" t="str">
        <f t="shared" si="3"/>
        <v/>
      </c>
      <c r="H42" t="str">
        <f t="shared" si="4"/>
        <v/>
      </c>
      <c r="K42" s="5"/>
      <c r="U42" s="5"/>
      <c r="AD42" s="5"/>
      <c r="AR42" s="5"/>
      <c r="BA42" s="35"/>
      <c r="BO42" s="5"/>
      <c r="BS42" s="5"/>
      <c r="BW42" s="5"/>
      <c r="CA42" s="5"/>
      <c r="CE42" s="5"/>
      <c r="CI42" s="5"/>
    </row>
    <row r="43" spans="1:87" x14ac:dyDescent="0.25">
      <c r="D43" s="7" t="str">
        <f t="shared" si="0"/>
        <v/>
      </c>
      <c r="E43" s="6" t="str">
        <f t="shared" si="1"/>
        <v/>
      </c>
      <c r="F43" t="str">
        <f t="shared" si="5"/>
        <v/>
      </c>
      <c r="G43" t="str">
        <f t="shared" si="3"/>
        <v/>
      </c>
      <c r="H43" t="str">
        <f t="shared" si="4"/>
        <v/>
      </c>
      <c r="K43" s="5"/>
      <c r="U43" s="5"/>
      <c r="AD43" s="5"/>
      <c r="AR43" s="5"/>
      <c r="BA43" s="35"/>
      <c r="BO43" s="5"/>
      <c r="BS43" s="5"/>
      <c r="BW43" s="5"/>
      <c r="CA43" s="5"/>
      <c r="CE43" s="5"/>
      <c r="CI43" s="5"/>
    </row>
    <row r="44" spans="1:87" x14ac:dyDescent="0.25">
      <c r="D44" s="7" t="str">
        <f t="shared" si="0"/>
        <v/>
      </c>
      <c r="E44" s="6" t="str">
        <f t="shared" si="1"/>
        <v/>
      </c>
      <c r="F44" t="str">
        <f t="shared" si="5"/>
        <v/>
      </c>
      <c r="G44" t="str">
        <f t="shared" si="3"/>
        <v/>
      </c>
      <c r="H44" t="str">
        <f t="shared" si="4"/>
        <v/>
      </c>
      <c r="K44" s="5"/>
      <c r="U44" s="5"/>
      <c r="AD44" s="5"/>
      <c r="AR44" s="5"/>
      <c r="BA44" s="35"/>
      <c r="BO44" s="5"/>
      <c r="BS44" s="5"/>
      <c r="BW44" s="5"/>
      <c r="CA44" s="5"/>
      <c r="CE44" s="5"/>
      <c r="CI44" s="5"/>
    </row>
    <row r="45" spans="1:87" x14ac:dyDescent="0.25">
      <c r="D45" s="7" t="str">
        <f t="shared" si="0"/>
        <v/>
      </c>
      <c r="E45" s="6" t="str">
        <f t="shared" si="1"/>
        <v/>
      </c>
      <c r="F45" t="str">
        <f t="shared" si="5"/>
        <v/>
      </c>
      <c r="G45" t="str">
        <f t="shared" si="3"/>
        <v/>
      </c>
      <c r="H45" t="str">
        <f t="shared" si="4"/>
        <v/>
      </c>
      <c r="K45" s="5"/>
      <c r="U45" s="5"/>
      <c r="AD45" s="5"/>
      <c r="AR45" s="5"/>
      <c r="BA45" s="35"/>
      <c r="BO45" s="5"/>
      <c r="BS45" s="5"/>
      <c r="BW45" s="5"/>
      <c r="CA45" s="5"/>
      <c r="CE45" s="5"/>
      <c r="CI45" s="5"/>
    </row>
    <row r="46" spans="1:87" x14ac:dyDescent="0.25">
      <c r="D46" s="7" t="str">
        <f t="shared" si="0"/>
        <v/>
      </c>
      <c r="E46" s="6" t="str">
        <f t="shared" si="1"/>
        <v/>
      </c>
      <c r="F46" t="str">
        <f t="shared" si="5"/>
        <v/>
      </c>
      <c r="G46" t="str">
        <f t="shared" si="3"/>
        <v/>
      </c>
      <c r="H46" t="str">
        <f t="shared" si="4"/>
        <v/>
      </c>
      <c r="K46" s="5"/>
      <c r="U46" s="5"/>
      <c r="AD46" s="5"/>
      <c r="AR46" s="5"/>
      <c r="BA46" s="35"/>
      <c r="BO46" s="5"/>
      <c r="BS46" s="5"/>
      <c r="BW46" s="5"/>
      <c r="CA46" s="5"/>
      <c r="CE46" s="5"/>
      <c r="CI46" s="5"/>
    </row>
    <row r="47" spans="1:87" x14ac:dyDescent="0.25">
      <c r="D47" s="7" t="str">
        <f t="shared" si="0"/>
        <v/>
      </c>
      <c r="E47" s="6" t="str">
        <f t="shared" si="1"/>
        <v/>
      </c>
      <c r="F47" t="str">
        <f t="shared" si="5"/>
        <v/>
      </c>
      <c r="G47" t="str">
        <f t="shared" si="3"/>
        <v/>
      </c>
      <c r="H47" t="str">
        <f t="shared" si="4"/>
        <v/>
      </c>
      <c r="K47" s="5"/>
      <c r="U47" s="5"/>
      <c r="AD47" s="5"/>
      <c r="AR47" s="5"/>
      <c r="BA47" s="35"/>
      <c r="BO47" s="5"/>
      <c r="BS47" s="5"/>
      <c r="BW47" s="5"/>
      <c r="CA47" s="5"/>
      <c r="CE47" s="5"/>
      <c r="CI47" s="5"/>
    </row>
    <row r="48" spans="1:87" x14ac:dyDescent="0.25">
      <c r="D48" s="7" t="str">
        <f t="shared" si="0"/>
        <v/>
      </c>
      <c r="E48" s="6" t="str">
        <f t="shared" si="1"/>
        <v/>
      </c>
      <c r="F48" t="str">
        <f t="shared" si="5"/>
        <v/>
      </c>
      <c r="G48" t="str">
        <f t="shared" si="3"/>
        <v/>
      </c>
      <c r="H48" t="str">
        <f t="shared" si="4"/>
        <v/>
      </c>
      <c r="K48" s="5"/>
      <c r="U48" s="5"/>
      <c r="AD48" s="5"/>
      <c r="AR48" s="5"/>
      <c r="BA48" s="35"/>
      <c r="BO48" s="5"/>
      <c r="BS48" s="5"/>
      <c r="BW48" s="5"/>
      <c r="CA48" s="5"/>
      <c r="CE48" s="5"/>
      <c r="CI48" s="5"/>
    </row>
    <row r="49" spans="4:87" x14ac:dyDescent="0.25">
      <c r="D49" s="7" t="str">
        <f t="shared" si="0"/>
        <v/>
      </c>
      <c r="E49" s="6" t="str">
        <f t="shared" si="1"/>
        <v/>
      </c>
      <c r="F49" t="str">
        <f t="shared" si="5"/>
        <v/>
      </c>
      <c r="G49" t="str">
        <f t="shared" si="3"/>
        <v/>
      </c>
      <c r="H49" t="str">
        <f t="shared" si="4"/>
        <v/>
      </c>
      <c r="K49" s="5"/>
      <c r="U49" s="5"/>
      <c r="AD49" s="5"/>
      <c r="AR49" s="5"/>
      <c r="BA49" s="35"/>
      <c r="BO49" s="5"/>
      <c r="BS49" s="5"/>
      <c r="BW49" s="5"/>
      <c r="CA49" s="5"/>
      <c r="CE49" s="5"/>
      <c r="CI49" s="5"/>
    </row>
    <row r="50" spans="4:87" x14ac:dyDescent="0.25">
      <c r="D50" s="7" t="str">
        <f t="shared" si="0"/>
        <v/>
      </c>
      <c r="E50" s="6" t="str">
        <f t="shared" si="1"/>
        <v/>
      </c>
      <c r="F50" t="str">
        <f t="shared" si="5"/>
        <v/>
      </c>
      <c r="G50" t="str">
        <f t="shared" si="3"/>
        <v/>
      </c>
      <c r="H50" t="str">
        <f t="shared" si="4"/>
        <v/>
      </c>
      <c r="K50" s="5"/>
      <c r="U50" s="5"/>
      <c r="AD50" s="5"/>
      <c r="AR50" s="5"/>
      <c r="BA50" s="35"/>
      <c r="BO50" s="5"/>
      <c r="BS50" s="5"/>
      <c r="BW50" s="5"/>
      <c r="CA50" s="5"/>
      <c r="CE50" s="5"/>
      <c r="CI50" s="5"/>
    </row>
    <row r="51" spans="4:87" x14ac:dyDescent="0.25">
      <c r="D51" s="7" t="str">
        <f t="shared" si="0"/>
        <v/>
      </c>
      <c r="E51" s="6" t="str">
        <f t="shared" si="1"/>
        <v/>
      </c>
      <c r="F51" t="str">
        <f t="shared" si="5"/>
        <v/>
      </c>
      <c r="G51" t="str">
        <f t="shared" si="3"/>
        <v/>
      </c>
      <c r="H51" t="str">
        <f t="shared" si="4"/>
        <v/>
      </c>
      <c r="K51" s="5"/>
      <c r="U51" s="5"/>
      <c r="AD51" s="5"/>
      <c r="AR51" s="5"/>
      <c r="BA51" s="35"/>
      <c r="BO51" s="5"/>
      <c r="BS51" s="5"/>
      <c r="BW51" s="5"/>
      <c r="CA51" s="5"/>
      <c r="CE51" s="5"/>
      <c r="CI51" s="5"/>
    </row>
    <row r="52" spans="4:87" x14ac:dyDescent="0.25">
      <c r="D52" s="7" t="str">
        <f t="shared" si="0"/>
        <v/>
      </c>
      <c r="E52" s="6" t="str">
        <f t="shared" si="1"/>
        <v/>
      </c>
      <c r="F52" t="str">
        <f t="shared" si="5"/>
        <v/>
      </c>
      <c r="G52" t="str">
        <f t="shared" si="3"/>
        <v/>
      </c>
      <c r="H52" t="str">
        <f t="shared" si="4"/>
        <v/>
      </c>
      <c r="K52" s="5"/>
      <c r="U52" s="5"/>
      <c r="AD52" s="5"/>
      <c r="AR52" s="5"/>
      <c r="BA52" s="35"/>
      <c r="BO52" s="5"/>
      <c r="BS52" s="5"/>
      <c r="BW52" s="5"/>
      <c r="CA52" s="5"/>
      <c r="CE52" s="5"/>
      <c r="CI52" s="5"/>
    </row>
    <row r="53" spans="4:87" x14ac:dyDescent="0.25">
      <c r="D53" s="7" t="str">
        <f t="shared" si="0"/>
        <v/>
      </c>
      <c r="E53" s="6" t="str">
        <f t="shared" si="1"/>
        <v/>
      </c>
      <c r="F53" t="str">
        <f t="shared" si="5"/>
        <v/>
      </c>
      <c r="G53" t="str">
        <f t="shared" si="3"/>
        <v/>
      </c>
      <c r="H53" t="str">
        <f t="shared" si="4"/>
        <v/>
      </c>
      <c r="K53" s="5"/>
      <c r="U53" s="5"/>
      <c r="AD53" s="5"/>
      <c r="AR53" s="5"/>
      <c r="BA53" s="35"/>
      <c r="BO53" s="5"/>
      <c r="BS53" s="5"/>
      <c r="BW53" s="5"/>
      <c r="CA53" s="5"/>
      <c r="CE53" s="5"/>
      <c r="CI53" s="5"/>
    </row>
    <row r="54" spans="4:87" x14ac:dyDescent="0.25">
      <c r="D54" s="7" t="str">
        <f t="shared" si="0"/>
        <v/>
      </c>
      <c r="E54" s="6" t="str">
        <f t="shared" si="1"/>
        <v/>
      </c>
      <c r="F54" t="str">
        <f t="shared" si="5"/>
        <v/>
      </c>
      <c r="G54" t="str">
        <f t="shared" si="3"/>
        <v/>
      </c>
      <c r="H54" t="str">
        <f t="shared" si="4"/>
        <v/>
      </c>
      <c r="K54" s="5"/>
      <c r="U54" s="5"/>
      <c r="AD54" s="5"/>
      <c r="AR54" s="5"/>
      <c r="BA54" s="35"/>
      <c r="BO54" s="5"/>
      <c r="BS54" s="5"/>
      <c r="BW54" s="5"/>
      <c r="CA54" s="5"/>
      <c r="CE54" s="5"/>
      <c r="CI54" s="5"/>
    </row>
    <row r="55" spans="4:87" x14ac:dyDescent="0.25">
      <c r="D55" s="7" t="str">
        <f t="shared" si="0"/>
        <v/>
      </c>
      <c r="E55" s="6" t="str">
        <f t="shared" si="1"/>
        <v/>
      </c>
      <c r="F55" t="str">
        <f t="shared" si="5"/>
        <v/>
      </c>
      <c r="G55" t="str">
        <f t="shared" si="3"/>
        <v/>
      </c>
      <c r="H55" t="str">
        <f t="shared" si="4"/>
        <v/>
      </c>
      <c r="K55" s="5"/>
      <c r="U55" s="5"/>
      <c r="AD55" s="5"/>
      <c r="AR55" s="5"/>
      <c r="BA55" s="35"/>
      <c r="BO55" s="5"/>
      <c r="BS55" s="5"/>
      <c r="BW55" s="5"/>
      <c r="CA55" s="5"/>
      <c r="CE55" s="5"/>
      <c r="CI55" s="5"/>
    </row>
    <row r="56" spans="4:87" x14ac:dyDescent="0.25">
      <c r="D56" s="7" t="str">
        <f t="shared" si="0"/>
        <v/>
      </c>
      <c r="E56" s="6" t="str">
        <f t="shared" si="1"/>
        <v/>
      </c>
      <c r="F56" t="str">
        <f t="shared" si="5"/>
        <v/>
      </c>
      <c r="G56" t="str">
        <f t="shared" si="3"/>
        <v/>
      </c>
      <c r="H56" t="str">
        <f t="shared" si="4"/>
        <v/>
      </c>
      <c r="K56" s="5"/>
      <c r="U56" s="5"/>
      <c r="AD56" s="5"/>
      <c r="AR56" s="5"/>
      <c r="BA56" s="35"/>
      <c r="BO56" s="5"/>
      <c r="BS56" s="5"/>
      <c r="BW56" s="5"/>
      <c r="CA56" s="5"/>
      <c r="CE56" s="5"/>
      <c r="CI56" s="5"/>
    </row>
    <row r="57" spans="4:87" x14ac:dyDescent="0.25">
      <c r="D57" s="7" t="str">
        <f t="shared" si="0"/>
        <v/>
      </c>
      <c r="E57" s="6" t="str">
        <f t="shared" si="1"/>
        <v/>
      </c>
      <c r="F57" t="str">
        <f t="shared" si="5"/>
        <v/>
      </c>
      <c r="G57" t="str">
        <f t="shared" si="3"/>
        <v/>
      </c>
      <c r="H57" t="str">
        <f t="shared" si="4"/>
        <v/>
      </c>
      <c r="K57" s="5"/>
      <c r="U57" s="5"/>
      <c r="AD57" s="5"/>
      <c r="AR57" s="5"/>
      <c r="BA57" s="35"/>
      <c r="BO57" s="5"/>
      <c r="BS57" s="5"/>
      <c r="BW57" s="5"/>
      <c r="CA57" s="5"/>
      <c r="CE57" s="5"/>
      <c r="CI57" s="5"/>
    </row>
    <row r="58" spans="4:87" x14ac:dyDescent="0.25">
      <c r="D58" s="7" t="str">
        <f t="shared" si="0"/>
        <v/>
      </c>
      <c r="E58" s="6" t="str">
        <f t="shared" si="1"/>
        <v/>
      </c>
      <c r="F58" t="str">
        <f t="shared" si="5"/>
        <v/>
      </c>
      <c r="G58" t="str">
        <f t="shared" si="3"/>
        <v/>
      </c>
      <c r="H58" t="str">
        <f t="shared" si="4"/>
        <v/>
      </c>
      <c r="K58" s="5"/>
      <c r="U58" s="5"/>
      <c r="AD58" s="5"/>
      <c r="AR58" s="5"/>
      <c r="BA58" s="35"/>
      <c r="BO58" s="5"/>
      <c r="BS58" s="5"/>
      <c r="BW58" s="5"/>
      <c r="CA58" s="5"/>
      <c r="CE58" s="5"/>
      <c r="CI58" s="5"/>
    </row>
    <row r="59" spans="4:87" x14ac:dyDescent="0.25">
      <c r="D59" s="7" t="str">
        <f t="shared" si="0"/>
        <v/>
      </c>
      <c r="E59" s="6" t="str">
        <f t="shared" si="1"/>
        <v/>
      </c>
      <c r="F59" t="str">
        <f t="shared" si="5"/>
        <v/>
      </c>
      <c r="G59" t="str">
        <f t="shared" si="3"/>
        <v/>
      </c>
      <c r="H59" t="str">
        <f t="shared" si="4"/>
        <v/>
      </c>
      <c r="K59" s="5"/>
      <c r="U59" s="5"/>
      <c r="AD59" s="5"/>
      <c r="AR59" s="5"/>
      <c r="BA59" s="35"/>
      <c r="BO59" s="5"/>
      <c r="BS59" s="5"/>
      <c r="BW59" s="5"/>
      <c r="CA59" s="5"/>
      <c r="CE59" s="5"/>
      <c r="CI59" s="5"/>
    </row>
    <row r="60" spans="4:87" x14ac:dyDescent="0.25">
      <c r="D60" s="7" t="str">
        <f t="shared" si="0"/>
        <v/>
      </c>
      <c r="E60" s="6" t="str">
        <f t="shared" si="1"/>
        <v/>
      </c>
      <c r="F60" t="str">
        <f t="shared" si="5"/>
        <v/>
      </c>
      <c r="G60" t="str">
        <f t="shared" si="3"/>
        <v/>
      </c>
      <c r="H60" t="str">
        <f t="shared" si="4"/>
        <v/>
      </c>
      <c r="K60" s="5"/>
      <c r="U60" s="5"/>
      <c r="AD60" s="5"/>
      <c r="AR60" s="5"/>
      <c r="BA60" s="35"/>
      <c r="BO60" s="5"/>
      <c r="BS60" s="5"/>
      <c r="BW60" s="5"/>
      <c r="CA60" s="5"/>
      <c r="CE60" s="5"/>
      <c r="CI60" s="5"/>
    </row>
    <row r="61" spans="4:87" x14ac:dyDescent="0.25">
      <c r="D61" s="7" t="str">
        <f t="shared" si="0"/>
        <v/>
      </c>
      <c r="E61" s="6" t="str">
        <f t="shared" si="1"/>
        <v/>
      </c>
      <c r="F61" t="str">
        <f t="shared" si="5"/>
        <v/>
      </c>
      <c r="G61" t="str">
        <f t="shared" si="3"/>
        <v/>
      </c>
      <c r="H61" t="str">
        <f t="shared" si="4"/>
        <v/>
      </c>
      <c r="K61" s="5"/>
      <c r="U61" s="5"/>
      <c r="AD61" s="5"/>
      <c r="AR61" s="5"/>
      <c r="BA61" s="35"/>
      <c r="BO61" s="5"/>
      <c r="BS61" s="5"/>
      <c r="BW61" s="5"/>
      <c r="CA61" s="5"/>
      <c r="CE61" s="5"/>
      <c r="CI61" s="5"/>
    </row>
    <row r="62" spans="4:87" x14ac:dyDescent="0.25">
      <c r="D62" s="7" t="str">
        <f t="shared" si="0"/>
        <v/>
      </c>
      <c r="E62" s="6" t="str">
        <f t="shared" si="1"/>
        <v/>
      </c>
      <c r="F62" t="str">
        <f t="shared" si="5"/>
        <v/>
      </c>
      <c r="G62" t="str">
        <f t="shared" si="3"/>
        <v/>
      </c>
      <c r="H62" t="str">
        <f t="shared" si="4"/>
        <v/>
      </c>
      <c r="K62" s="5"/>
      <c r="U62" s="5"/>
      <c r="AD62" s="5"/>
      <c r="AR62" s="5"/>
      <c r="BA62" s="35"/>
      <c r="BO62" s="5"/>
      <c r="BS62" s="5"/>
      <c r="BW62" s="5"/>
      <c r="CA62" s="5"/>
      <c r="CE62" s="5"/>
      <c r="CI62" s="5"/>
    </row>
    <row r="63" spans="4:87" x14ac:dyDescent="0.25">
      <c r="D63" s="7" t="str">
        <f t="shared" si="0"/>
        <v/>
      </c>
      <c r="E63" s="6" t="str">
        <f t="shared" si="1"/>
        <v/>
      </c>
      <c r="F63" t="str">
        <f t="shared" si="5"/>
        <v/>
      </c>
      <c r="G63" t="str">
        <f t="shared" si="3"/>
        <v/>
      </c>
      <c r="H63" t="str">
        <f t="shared" si="4"/>
        <v/>
      </c>
      <c r="K63" s="5"/>
      <c r="U63" s="5"/>
      <c r="AD63" s="5"/>
      <c r="AR63" s="5"/>
      <c r="BA63" s="35"/>
      <c r="BO63" s="5"/>
      <c r="BS63" s="5"/>
      <c r="BW63" s="5"/>
      <c r="CA63" s="5"/>
      <c r="CE63" s="5"/>
      <c r="CI63" s="5"/>
    </row>
    <row r="64" spans="4:87" x14ac:dyDescent="0.25">
      <c r="D64" s="7" t="str">
        <f t="shared" si="0"/>
        <v/>
      </c>
      <c r="E64" s="6" t="str">
        <f t="shared" si="1"/>
        <v/>
      </c>
      <c r="F64" t="str">
        <f t="shared" si="5"/>
        <v/>
      </c>
      <c r="G64" t="str">
        <f t="shared" si="3"/>
        <v/>
      </c>
      <c r="H64" t="str">
        <f t="shared" si="4"/>
        <v/>
      </c>
      <c r="K64" s="5"/>
      <c r="U64" s="5"/>
      <c r="AD64" s="5"/>
      <c r="AR64" s="5"/>
      <c r="BA64" s="35"/>
      <c r="BO64" s="5"/>
      <c r="BS64" s="5"/>
      <c r="BW64" s="5"/>
      <c r="CA64" s="5"/>
      <c r="CE64" s="5"/>
      <c r="CI64" s="5"/>
    </row>
    <row r="65" spans="4:87" x14ac:dyDescent="0.25">
      <c r="D65" s="7" t="str">
        <f t="shared" si="0"/>
        <v/>
      </c>
      <c r="E65" s="6" t="str">
        <f t="shared" si="1"/>
        <v/>
      </c>
      <c r="F65" t="str">
        <f t="shared" si="5"/>
        <v/>
      </c>
      <c r="G65" t="str">
        <f t="shared" si="3"/>
        <v/>
      </c>
      <c r="H65" t="str">
        <f t="shared" si="4"/>
        <v/>
      </c>
      <c r="K65" s="5"/>
      <c r="U65" s="5"/>
      <c r="AD65" s="5"/>
      <c r="AR65" s="5"/>
      <c r="BA65" s="35"/>
      <c r="BO65" s="5"/>
      <c r="BS65" s="5"/>
      <c r="BW65" s="5"/>
      <c r="CA65" s="5"/>
      <c r="CE65" s="5"/>
      <c r="CI65" s="5"/>
    </row>
    <row r="66" spans="4:87" x14ac:dyDescent="0.25">
      <c r="D66" s="7" t="str">
        <f t="shared" si="0"/>
        <v/>
      </c>
      <c r="E66" s="6" t="str">
        <f t="shared" si="1"/>
        <v/>
      </c>
      <c r="F66" t="str">
        <f t="shared" si="5"/>
        <v/>
      </c>
      <c r="G66" t="str">
        <f t="shared" si="3"/>
        <v/>
      </c>
      <c r="H66" t="str">
        <f t="shared" si="4"/>
        <v/>
      </c>
      <c r="K66" s="5"/>
      <c r="U66" s="5"/>
      <c r="AD66" s="5"/>
      <c r="AR66" s="5"/>
      <c r="BA66" s="35"/>
      <c r="BO66" s="5"/>
      <c r="BS66" s="5"/>
      <c r="BW66" s="5"/>
      <c r="CA66" s="5"/>
      <c r="CE66" s="5"/>
      <c r="CI66" s="5"/>
    </row>
    <row r="67" spans="4:87" x14ac:dyDescent="0.25">
      <c r="D67" s="7" t="str">
        <f t="shared" si="0"/>
        <v/>
      </c>
      <c r="E67" s="6" t="str">
        <f t="shared" si="1"/>
        <v/>
      </c>
      <c r="F67" t="str">
        <f t="shared" si="5"/>
        <v/>
      </c>
      <c r="G67" t="str">
        <f t="shared" si="3"/>
        <v/>
      </c>
      <c r="H67" t="str">
        <f t="shared" si="4"/>
        <v/>
      </c>
      <c r="K67" s="5"/>
      <c r="U67" s="5"/>
      <c r="AD67" s="5"/>
      <c r="AR67" s="5"/>
      <c r="BA67" s="35"/>
      <c r="BO67" s="5"/>
      <c r="BS67" s="5"/>
      <c r="BW67" s="5"/>
      <c r="CA67" s="5"/>
      <c r="CE67" s="5"/>
      <c r="CI67" s="5"/>
    </row>
    <row r="68" spans="4:87" x14ac:dyDescent="0.25">
      <c r="D68" s="7" t="str">
        <f t="shared" si="0"/>
        <v/>
      </c>
      <c r="E68" s="6" t="str">
        <f t="shared" si="1"/>
        <v/>
      </c>
      <c r="F68" t="str">
        <f t="shared" si="5"/>
        <v/>
      </c>
      <c r="G68" t="str">
        <f t="shared" si="3"/>
        <v/>
      </c>
      <c r="H68" t="str">
        <f t="shared" si="4"/>
        <v/>
      </c>
      <c r="K68" s="5"/>
      <c r="U68" s="5"/>
      <c r="AD68" s="5"/>
      <c r="AR68" s="5"/>
      <c r="BA68" s="35"/>
      <c r="BO68" s="5"/>
      <c r="BS68" s="5"/>
      <c r="BW68" s="5"/>
      <c r="CA68" s="5"/>
      <c r="CE68" s="5"/>
      <c r="CI68" s="5"/>
    </row>
    <row r="69" spans="4:87" x14ac:dyDescent="0.25">
      <c r="D69" s="7" t="str">
        <f t="shared" si="0"/>
        <v/>
      </c>
      <c r="E69" s="6" t="str">
        <f t="shared" si="1"/>
        <v/>
      </c>
      <c r="F69" t="str">
        <f t="shared" si="5"/>
        <v/>
      </c>
      <c r="G69" t="str">
        <f t="shared" si="3"/>
        <v/>
      </c>
      <c r="H69" t="str">
        <f t="shared" si="4"/>
        <v/>
      </c>
      <c r="K69" s="5"/>
      <c r="U69" s="5"/>
      <c r="AD69" s="5"/>
      <c r="AR69" s="5"/>
      <c r="BA69" s="35"/>
      <c r="BO69" s="5"/>
      <c r="BS69" s="5"/>
      <c r="BW69" s="5"/>
      <c r="CA69" s="5"/>
      <c r="CE69" s="5"/>
      <c r="CI69" s="5"/>
    </row>
    <row r="70" spans="4:87" x14ac:dyDescent="0.25">
      <c r="D70" s="7" t="str">
        <f t="shared" si="0"/>
        <v/>
      </c>
      <c r="E70" s="6" t="str">
        <f t="shared" si="1"/>
        <v/>
      </c>
      <c r="F70" t="str">
        <f t="shared" si="5"/>
        <v/>
      </c>
      <c r="G70" t="str">
        <f t="shared" si="3"/>
        <v/>
      </c>
      <c r="H70" t="str">
        <f t="shared" si="4"/>
        <v/>
      </c>
      <c r="K70" s="5"/>
      <c r="U70" s="5"/>
      <c r="AD70" s="5"/>
      <c r="AR70" s="5"/>
      <c r="BA70" s="35"/>
      <c r="BO70" s="5"/>
      <c r="BS70" s="5"/>
      <c r="BW70" s="5"/>
      <c r="CA70" s="5"/>
      <c r="CE70" s="5"/>
      <c r="CI70" s="5"/>
    </row>
    <row r="71" spans="4:87" x14ac:dyDescent="0.25">
      <c r="D71" s="7" t="str">
        <f t="shared" si="0"/>
        <v/>
      </c>
      <c r="E71" s="6" t="str">
        <f t="shared" si="1"/>
        <v/>
      </c>
      <c r="F71" t="str">
        <f t="shared" si="5"/>
        <v/>
      </c>
      <c r="G71" t="str">
        <f t="shared" si="3"/>
        <v/>
      </c>
      <c r="H71" t="str">
        <f t="shared" si="4"/>
        <v/>
      </c>
      <c r="K71" s="5"/>
      <c r="U71" s="5"/>
      <c r="AD71" s="5"/>
      <c r="AR71" s="5"/>
      <c r="BA71" s="35"/>
      <c r="BO71" s="5"/>
      <c r="BS71" s="5"/>
      <c r="BW71" s="5"/>
      <c r="CA71" s="5"/>
      <c r="CE71" s="5"/>
      <c r="CI71" s="5"/>
    </row>
    <row r="72" spans="4:87" x14ac:dyDescent="0.25">
      <c r="D72" s="7" t="str">
        <f t="shared" ref="D72:D135" si="6">IF(K72&lt;&gt;"",1+INT((K72-(DATE(YEAR(K72),1,2)-WEEKDAY(DATE(YEAR(K72),1,1))))/7),"")</f>
        <v/>
      </c>
      <c r="E72" s="6" t="str">
        <f t="shared" ref="E72:E135" si="7">IF(K72&lt;&gt;"",TEXT(K72,"ddd"),"")</f>
        <v/>
      </c>
      <c r="F72" t="str">
        <f t="shared" ref="F72:F135" si="8">IF(K72&lt;&gt;"",MONTH(K72),"")</f>
        <v/>
      </c>
      <c r="G72" t="str">
        <f t="shared" ref="G72:G135" si="9">IF(K72&lt;&gt;"",DAY(K72),"")</f>
        <v/>
      </c>
      <c r="H72" t="str">
        <f t="shared" ref="H72:H135" si="10">IF(K72&lt;&gt;"",YEAR(K72),"")</f>
        <v/>
      </c>
      <c r="K72" s="5"/>
      <c r="U72" s="5"/>
      <c r="AD72" s="5"/>
      <c r="AR72" s="5"/>
      <c r="BA72" s="35"/>
      <c r="BO72" s="5"/>
      <c r="BS72" s="5"/>
      <c r="BW72" s="5"/>
      <c r="CA72" s="5"/>
      <c r="CE72" s="5"/>
      <c r="CI72" s="5"/>
    </row>
    <row r="73" spans="4:87" x14ac:dyDescent="0.25">
      <c r="D73" s="7" t="str">
        <f t="shared" si="6"/>
        <v/>
      </c>
      <c r="E73" s="6" t="str">
        <f t="shared" si="7"/>
        <v/>
      </c>
      <c r="F73" t="str">
        <f t="shared" si="8"/>
        <v/>
      </c>
      <c r="G73" t="str">
        <f t="shared" si="9"/>
        <v/>
      </c>
      <c r="H73" t="str">
        <f t="shared" si="10"/>
        <v/>
      </c>
      <c r="K73" s="5"/>
      <c r="U73" s="5"/>
      <c r="AD73" s="5"/>
      <c r="AR73" s="5"/>
      <c r="BA73" s="35"/>
      <c r="BO73" s="5"/>
      <c r="BS73" s="5"/>
      <c r="BW73" s="5"/>
      <c r="CA73" s="5"/>
      <c r="CE73" s="5"/>
      <c r="CI73" s="5"/>
    </row>
    <row r="74" spans="4:87" x14ac:dyDescent="0.25">
      <c r="D74" s="7" t="str">
        <f t="shared" si="6"/>
        <v/>
      </c>
      <c r="E74" s="6" t="str">
        <f t="shared" si="7"/>
        <v/>
      </c>
      <c r="F74" t="str">
        <f t="shared" si="8"/>
        <v/>
      </c>
      <c r="G74" t="str">
        <f t="shared" si="9"/>
        <v/>
      </c>
      <c r="H74" t="str">
        <f t="shared" si="10"/>
        <v/>
      </c>
      <c r="K74" s="5"/>
      <c r="U74" s="5"/>
      <c r="AD74" s="5"/>
      <c r="AR74" s="5"/>
      <c r="BA74" s="35"/>
      <c r="BO74" s="5"/>
      <c r="BS74" s="5"/>
      <c r="BW74" s="5"/>
      <c r="CA74" s="5"/>
      <c r="CE74" s="5"/>
      <c r="CI74" s="5"/>
    </row>
    <row r="75" spans="4:87" x14ac:dyDescent="0.25">
      <c r="D75" s="7" t="str">
        <f t="shared" si="6"/>
        <v/>
      </c>
      <c r="E75" s="6" t="str">
        <f t="shared" si="7"/>
        <v/>
      </c>
      <c r="F75" t="str">
        <f t="shared" si="8"/>
        <v/>
      </c>
      <c r="G75" t="str">
        <f t="shared" si="9"/>
        <v/>
      </c>
      <c r="H75" t="str">
        <f t="shared" si="10"/>
        <v/>
      </c>
      <c r="K75" s="5"/>
      <c r="U75" s="5"/>
      <c r="AD75" s="5"/>
      <c r="AR75" s="5"/>
      <c r="BA75" s="35"/>
      <c r="BO75" s="5"/>
      <c r="BS75" s="5"/>
      <c r="BW75" s="5"/>
      <c r="CA75" s="5"/>
      <c r="CE75" s="5"/>
      <c r="CI75" s="5"/>
    </row>
    <row r="76" spans="4:87" x14ac:dyDescent="0.25">
      <c r="D76" s="7" t="str">
        <f t="shared" si="6"/>
        <v/>
      </c>
      <c r="E76" s="6" t="str">
        <f t="shared" si="7"/>
        <v/>
      </c>
      <c r="F76" t="str">
        <f t="shared" si="8"/>
        <v/>
      </c>
      <c r="G76" t="str">
        <f t="shared" si="9"/>
        <v/>
      </c>
      <c r="H76" t="str">
        <f t="shared" si="10"/>
        <v/>
      </c>
      <c r="K76" s="5"/>
      <c r="U76" s="5"/>
      <c r="AD76" s="5"/>
      <c r="AR76" s="5"/>
      <c r="BA76" s="35"/>
      <c r="BO76" s="5"/>
      <c r="BS76" s="5"/>
      <c r="BW76" s="5"/>
      <c r="CA76" s="5"/>
      <c r="CE76" s="5"/>
      <c r="CI76" s="5"/>
    </row>
    <row r="77" spans="4:87" x14ac:dyDescent="0.25">
      <c r="D77" s="7" t="str">
        <f t="shared" si="6"/>
        <v/>
      </c>
      <c r="E77" s="6" t="str">
        <f t="shared" si="7"/>
        <v/>
      </c>
      <c r="F77" t="str">
        <f t="shared" si="8"/>
        <v/>
      </c>
      <c r="G77" t="str">
        <f t="shared" si="9"/>
        <v/>
      </c>
      <c r="H77" t="str">
        <f t="shared" si="10"/>
        <v/>
      </c>
      <c r="K77" s="5"/>
      <c r="U77" s="5"/>
      <c r="AD77" s="5"/>
      <c r="AR77" s="5"/>
      <c r="BA77" s="35"/>
      <c r="BO77" s="5"/>
      <c r="BS77" s="5"/>
      <c r="BW77" s="5"/>
      <c r="CA77" s="5"/>
      <c r="CE77" s="5"/>
      <c r="CI77" s="5"/>
    </row>
    <row r="78" spans="4:87" x14ac:dyDescent="0.25">
      <c r="D78" s="7" t="str">
        <f t="shared" si="6"/>
        <v/>
      </c>
      <c r="E78" s="6" t="str">
        <f t="shared" si="7"/>
        <v/>
      </c>
      <c r="F78" t="str">
        <f t="shared" si="8"/>
        <v/>
      </c>
      <c r="G78" t="str">
        <f t="shared" si="9"/>
        <v/>
      </c>
      <c r="H78" t="str">
        <f t="shared" si="10"/>
        <v/>
      </c>
      <c r="K78" s="5"/>
      <c r="U78" s="5"/>
      <c r="AD78" s="5"/>
      <c r="AR78" s="5"/>
      <c r="BA78" s="35"/>
      <c r="BO78" s="5"/>
      <c r="BS78" s="5"/>
      <c r="BW78" s="5"/>
      <c r="CA78" s="5"/>
      <c r="CE78" s="5"/>
      <c r="CI78" s="5"/>
    </row>
    <row r="79" spans="4:87" x14ac:dyDescent="0.25">
      <c r="D79" s="7" t="str">
        <f t="shared" si="6"/>
        <v/>
      </c>
      <c r="E79" s="6" t="str">
        <f t="shared" si="7"/>
        <v/>
      </c>
      <c r="F79" t="str">
        <f t="shared" si="8"/>
        <v/>
      </c>
      <c r="G79" t="str">
        <f t="shared" si="9"/>
        <v/>
      </c>
      <c r="H79" t="str">
        <f t="shared" si="10"/>
        <v/>
      </c>
      <c r="K79" s="5"/>
      <c r="U79" s="5"/>
      <c r="AD79" s="5"/>
      <c r="AR79" s="5"/>
      <c r="BA79" s="35"/>
      <c r="BO79" s="5"/>
      <c r="BS79" s="5"/>
      <c r="BW79" s="5"/>
      <c r="CA79" s="5"/>
      <c r="CE79" s="5"/>
      <c r="CI79" s="5"/>
    </row>
    <row r="80" spans="4:87" x14ac:dyDescent="0.25">
      <c r="D80" s="7" t="str">
        <f t="shared" si="6"/>
        <v/>
      </c>
      <c r="E80" s="6" t="str">
        <f t="shared" si="7"/>
        <v/>
      </c>
      <c r="F80" t="str">
        <f t="shared" si="8"/>
        <v/>
      </c>
      <c r="G80" t="str">
        <f t="shared" si="9"/>
        <v/>
      </c>
      <c r="H80" t="str">
        <f t="shared" si="10"/>
        <v/>
      </c>
      <c r="K80" s="5"/>
      <c r="U80" s="5"/>
      <c r="AD80" s="5"/>
      <c r="AR80" s="5"/>
      <c r="BA80" s="35"/>
      <c r="BO80" s="5"/>
      <c r="BS80" s="5"/>
      <c r="BW80" s="5"/>
      <c r="CA80" s="5"/>
      <c r="CE80" s="5"/>
      <c r="CI80" s="5"/>
    </row>
    <row r="81" spans="4:87" x14ac:dyDescent="0.25">
      <c r="D81" s="7" t="str">
        <f t="shared" si="6"/>
        <v/>
      </c>
      <c r="E81" s="6" t="str">
        <f t="shared" si="7"/>
        <v/>
      </c>
      <c r="F81" t="str">
        <f t="shared" si="8"/>
        <v/>
      </c>
      <c r="G81" t="str">
        <f t="shared" si="9"/>
        <v/>
      </c>
      <c r="H81" t="str">
        <f t="shared" si="10"/>
        <v/>
      </c>
      <c r="K81" s="5"/>
      <c r="U81" s="5"/>
      <c r="AD81" s="5"/>
      <c r="AR81" s="5"/>
      <c r="BA81" s="35"/>
      <c r="BO81" s="5"/>
      <c r="BS81" s="5"/>
      <c r="BW81" s="5"/>
      <c r="CA81" s="5"/>
      <c r="CE81" s="5"/>
      <c r="CI81" s="5"/>
    </row>
    <row r="82" spans="4:87" x14ac:dyDescent="0.25">
      <c r="D82" s="7" t="str">
        <f t="shared" si="6"/>
        <v/>
      </c>
      <c r="E82" s="6" t="str">
        <f t="shared" si="7"/>
        <v/>
      </c>
      <c r="F82" t="str">
        <f t="shared" si="8"/>
        <v/>
      </c>
      <c r="G82" t="str">
        <f t="shared" si="9"/>
        <v/>
      </c>
      <c r="H82" t="str">
        <f t="shared" si="10"/>
        <v/>
      </c>
      <c r="K82" s="5"/>
      <c r="U82" s="5"/>
      <c r="AD82" s="5"/>
      <c r="AR82" s="5"/>
      <c r="BA82" s="35"/>
      <c r="BO82" s="5"/>
      <c r="BS82" s="5"/>
      <c r="BW82" s="5"/>
      <c r="CA82" s="5"/>
      <c r="CE82" s="5"/>
      <c r="CI82" s="5"/>
    </row>
    <row r="83" spans="4:87" x14ac:dyDescent="0.25">
      <c r="D83" s="7" t="str">
        <f t="shared" si="6"/>
        <v/>
      </c>
      <c r="E83" s="6" t="str">
        <f t="shared" si="7"/>
        <v/>
      </c>
      <c r="F83" t="str">
        <f t="shared" si="8"/>
        <v/>
      </c>
      <c r="G83" t="str">
        <f t="shared" si="9"/>
        <v/>
      </c>
      <c r="H83" t="str">
        <f t="shared" si="10"/>
        <v/>
      </c>
      <c r="K83" s="5"/>
      <c r="U83" s="5"/>
      <c r="AD83" s="5"/>
      <c r="AR83" s="5"/>
      <c r="BA83" s="35"/>
      <c r="BO83" s="5"/>
      <c r="BS83" s="5"/>
      <c r="BW83" s="5"/>
      <c r="CA83" s="5"/>
      <c r="CE83" s="5"/>
      <c r="CI83" s="5"/>
    </row>
    <row r="84" spans="4:87" x14ac:dyDescent="0.25">
      <c r="D84" s="7" t="str">
        <f t="shared" si="6"/>
        <v/>
      </c>
      <c r="E84" s="6" t="str">
        <f t="shared" si="7"/>
        <v/>
      </c>
      <c r="F84" t="str">
        <f t="shared" si="8"/>
        <v/>
      </c>
      <c r="G84" t="str">
        <f t="shared" si="9"/>
        <v/>
      </c>
      <c r="H84" t="str">
        <f t="shared" si="10"/>
        <v/>
      </c>
      <c r="K84" s="5"/>
      <c r="U84" s="5"/>
      <c r="AD84" s="5"/>
      <c r="AR84" s="5"/>
      <c r="BA84" s="35"/>
      <c r="BO84" s="5"/>
      <c r="BS84" s="5"/>
      <c r="BW84" s="5"/>
      <c r="CA84" s="5"/>
      <c r="CE84" s="5"/>
      <c r="CI84" s="5"/>
    </row>
    <row r="85" spans="4:87" x14ac:dyDescent="0.25">
      <c r="D85" s="7" t="str">
        <f t="shared" si="6"/>
        <v/>
      </c>
      <c r="E85" s="6" t="str">
        <f t="shared" si="7"/>
        <v/>
      </c>
      <c r="F85" t="str">
        <f t="shared" si="8"/>
        <v/>
      </c>
      <c r="G85" t="str">
        <f t="shared" si="9"/>
        <v/>
      </c>
      <c r="H85" t="str">
        <f t="shared" si="10"/>
        <v/>
      </c>
      <c r="K85" s="5"/>
      <c r="U85" s="5"/>
      <c r="AD85" s="5"/>
      <c r="AR85" s="5"/>
      <c r="BA85" s="35"/>
      <c r="BO85" s="5"/>
      <c r="BS85" s="5"/>
      <c r="BW85" s="5"/>
      <c r="CA85" s="5"/>
      <c r="CE85" s="5"/>
      <c r="CI85" s="5"/>
    </row>
    <row r="86" spans="4:87" x14ac:dyDescent="0.25">
      <c r="D86" s="7" t="str">
        <f t="shared" si="6"/>
        <v/>
      </c>
      <c r="E86" s="6" t="str">
        <f t="shared" si="7"/>
        <v/>
      </c>
      <c r="F86" t="str">
        <f t="shared" si="8"/>
        <v/>
      </c>
      <c r="G86" t="str">
        <f t="shared" si="9"/>
        <v/>
      </c>
      <c r="H86" t="str">
        <f t="shared" si="10"/>
        <v/>
      </c>
      <c r="K86" s="5"/>
      <c r="U86" s="5"/>
      <c r="AD86" s="5"/>
      <c r="AR86" s="5"/>
      <c r="BA86" s="35"/>
      <c r="BO86" s="5"/>
      <c r="BS86" s="5"/>
      <c r="BW86" s="5"/>
      <c r="CA86" s="5"/>
      <c r="CE86" s="5"/>
      <c r="CI86" s="5"/>
    </row>
    <row r="87" spans="4:87" x14ac:dyDescent="0.25">
      <c r="D87" s="7" t="str">
        <f t="shared" si="6"/>
        <v/>
      </c>
      <c r="E87" s="6" t="str">
        <f t="shared" si="7"/>
        <v/>
      </c>
      <c r="F87" t="str">
        <f t="shared" si="8"/>
        <v/>
      </c>
      <c r="G87" t="str">
        <f t="shared" si="9"/>
        <v/>
      </c>
      <c r="H87" t="str">
        <f t="shared" si="10"/>
        <v/>
      </c>
      <c r="K87" s="5"/>
      <c r="U87" s="5"/>
      <c r="AD87" s="5"/>
      <c r="AR87" s="5"/>
      <c r="BA87" s="35"/>
      <c r="BO87" s="5"/>
      <c r="BS87" s="5"/>
      <c r="BW87" s="5"/>
      <c r="CA87" s="5"/>
      <c r="CE87" s="5"/>
      <c r="CI87" s="5"/>
    </row>
    <row r="88" spans="4:87" x14ac:dyDescent="0.25">
      <c r="D88" s="7" t="str">
        <f t="shared" si="6"/>
        <v/>
      </c>
      <c r="E88" s="6" t="str">
        <f t="shared" si="7"/>
        <v/>
      </c>
      <c r="F88" t="str">
        <f t="shared" si="8"/>
        <v/>
      </c>
      <c r="G88" t="str">
        <f t="shared" si="9"/>
        <v/>
      </c>
      <c r="H88" t="str">
        <f t="shared" si="10"/>
        <v/>
      </c>
      <c r="K88" s="5"/>
      <c r="U88" s="5"/>
      <c r="AD88" s="5"/>
      <c r="AR88" s="5"/>
      <c r="BA88" s="35"/>
      <c r="BO88" s="5"/>
      <c r="BS88" s="5"/>
      <c r="BW88" s="5"/>
      <c r="CA88" s="5"/>
      <c r="CE88" s="5"/>
      <c r="CI88" s="5"/>
    </row>
    <row r="89" spans="4:87" x14ac:dyDescent="0.25">
      <c r="D89" s="7" t="str">
        <f t="shared" si="6"/>
        <v/>
      </c>
      <c r="E89" s="6" t="str">
        <f t="shared" si="7"/>
        <v/>
      </c>
      <c r="F89" t="str">
        <f t="shared" si="8"/>
        <v/>
      </c>
      <c r="G89" t="str">
        <f t="shared" si="9"/>
        <v/>
      </c>
      <c r="H89" t="str">
        <f t="shared" si="10"/>
        <v/>
      </c>
      <c r="K89" s="5"/>
      <c r="U89" s="5"/>
      <c r="AD89" s="5"/>
      <c r="AR89" s="5"/>
      <c r="BA89" s="35"/>
      <c r="BO89" s="5"/>
      <c r="BS89" s="5"/>
      <c r="BW89" s="5"/>
      <c r="CA89" s="5"/>
      <c r="CE89" s="5"/>
      <c r="CI89" s="5"/>
    </row>
    <row r="90" spans="4:87" x14ac:dyDescent="0.25">
      <c r="D90" s="7" t="str">
        <f t="shared" si="6"/>
        <v/>
      </c>
      <c r="E90" s="6" t="str">
        <f t="shared" si="7"/>
        <v/>
      </c>
      <c r="F90" t="str">
        <f t="shared" si="8"/>
        <v/>
      </c>
      <c r="G90" t="str">
        <f t="shared" si="9"/>
        <v/>
      </c>
      <c r="H90" t="str">
        <f t="shared" si="10"/>
        <v/>
      </c>
      <c r="K90" s="5"/>
      <c r="U90" s="5"/>
      <c r="AD90" s="5"/>
      <c r="AR90" s="5"/>
      <c r="BA90" s="35"/>
      <c r="BO90" s="5"/>
      <c r="BS90" s="5"/>
      <c r="BW90" s="5"/>
      <c r="CA90" s="5"/>
      <c r="CE90" s="5"/>
      <c r="CI90" s="5"/>
    </row>
    <row r="91" spans="4:87" x14ac:dyDescent="0.25">
      <c r="D91" s="7" t="str">
        <f t="shared" si="6"/>
        <v/>
      </c>
      <c r="E91" s="6" t="str">
        <f t="shared" si="7"/>
        <v/>
      </c>
      <c r="F91" t="str">
        <f t="shared" si="8"/>
        <v/>
      </c>
      <c r="G91" t="str">
        <f t="shared" si="9"/>
        <v/>
      </c>
      <c r="H91" t="str">
        <f t="shared" si="10"/>
        <v/>
      </c>
      <c r="K91" s="5"/>
      <c r="U91" s="5"/>
      <c r="AD91" s="5"/>
      <c r="AR91" s="5"/>
      <c r="BA91" s="35"/>
      <c r="BO91" s="5"/>
      <c r="BS91" s="5"/>
      <c r="BW91" s="5"/>
      <c r="CA91" s="5"/>
      <c r="CE91" s="5"/>
      <c r="CI91" s="5"/>
    </row>
    <row r="92" spans="4:87" x14ac:dyDescent="0.25">
      <c r="D92" s="7" t="str">
        <f t="shared" si="6"/>
        <v/>
      </c>
      <c r="E92" s="6" t="str">
        <f t="shared" si="7"/>
        <v/>
      </c>
      <c r="F92" t="str">
        <f t="shared" si="8"/>
        <v/>
      </c>
      <c r="G92" t="str">
        <f t="shared" si="9"/>
        <v/>
      </c>
      <c r="H92" t="str">
        <f t="shared" si="10"/>
        <v/>
      </c>
      <c r="K92" s="5"/>
      <c r="U92" s="5"/>
      <c r="AD92" s="5"/>
      <c r="AR92" s="5"/>
      <c r="BA92" s="35"/>
      <c r="BO92" s="5"/>
      <c r="BS92" s="5"/>
      <c r="BW92" s="5"/>
      <c r="CA92" s="5"/>
      <c r="CE92" s="5"/>
      <c r="CI92" s="5"/>
    </row>
    <row r="93" spans="4:87" x14ac:dyDescent="0.25">
      <c r="D93" s="7" t="str">
        <f t="shared" si="6"/>
        <v/>
      </c>
      <c r="E93" s="6" t="str">
        <f t="shared" si="7"/>
        <v/>
      </c>
      <c r="F93" t="str">
        <f t="shared" si="8"/>
        <v/>
      </c>
      <c r="G93" t="str">
        <f t="shared" si="9"/>
        <v/>
      </c>
      <c r="H93" t="str">
        <f t="shared" si="10"/>
        <v/>
      </c>
      <c r="K93" s="5"/>
      <c r="U93" s="5"/>
      <c r="AD93" s="5"/>
      <c r="AR93" s="5"/>
      <c r="BA93" s="35"/>
      <c r="BO93" s="5"/>
      <c r="BS93" s="5"/>
      <c r="BW93" s="5"/>
      <c r="CA93" s="5"/>
      <c r="CE93" s="5"/>
      <c r="CI93" s="5"/>
    </row>
    <row r="94" spans="4:87" x14ac:dyDescent="0.25">
      <c r="D94" s="7" t="str">
        <f t="shared" si="6"/>
        <v/>
      </c>
      <c r="E94" s="6" t="str">
        <f t="shared" si="7"/>
        <v/>
      </c>
      <c r="F94" t="str">
        <f t="shared" si="8"/>
        <v/>
      </c>
      <c r="G94" t="str">
        <f t="shared" si="9"/>
        <v/>
      </c>
      <c r="H94" t="str">
        <f t="shared" si="10"/>
        <v/>
      </c>
      <c r="K94" s="5"/>
      <c r="U94" s="5"/>
      <c r="AD94" s="5"/>
      <c r="AR94" s="5"/>
      <c r="BA94" s="35"/>
      <c r="BO94" s="5"/>
      <c r="BS94" s="5"/>
      <c r="BW94" s="5"/>
      <c r="CA94" s="5"/>
      <c r="CE94" s="5"/>
      <c r="CI94" s="5"/>
    </row>
    <row r="95" spans="4:87" x14ac:dyDescent="0.25">
      <c r="D95" s="7" t="str">
        <f t="shared" si="6"/>
        <v/>
      </c>
      <c r="E95" s="6" t="str">
        <f t="shared" si="7"/>
        <v/>
      </c>
      <c r="F95" t="str">
        <f t="shared" si="8"/>
        <v/>
      </c>
      <c r="G95" t="str">
        <f t="shared" si="9"/>
        <v/>
      </c>
      <c r="H95" t="str">
        <f t="shared" si="10"/>
        <v/>
      </c>
      <c r="K95" s="5"/>
      <c r="U95" s="5"/>
      <c r="AD95" s="5"/>
      <c r="AR95" s="5"/>
      <c r="BA95" s="35"/>
      <c r="BO95" s="5"/>
      <c r="BS95" s="5"/>
      <c r="BW95" s="5"/>
      <c r="CA95" s="5"/>
      <c r="CE95" s="5"/>
      <c r="CI95" s="5"/>
    </row>
    <row r="96" spans="4:87" x14ac:dyDescent="0.25">
      <c r="D96" s="7" t="str">
        <f t="shared" si="6"/>
        <v/>
      </c>
      <c r="E96" s="6" t="str">
        <f t="shared" si="7"/>
        <v/>
      </c>
      <c r="F96" t="str">
        <f t="shared" si="8"/>
        <v/>
      </c>
      <c r="G96" t="str">
        <f t="shared" si="9"/>
        <v/>
      </c>
      <c r="H96" t="str">
        <f t="shared" si="10"/>
        <v/>
      </c>
      <c r="K96" s="5"/>
      <c r="U96" s="5"/>
      <c r="AD96" s="5"/>
      <c r="AR96" s="5"/>
      <c r="BA96" s="35"/>
      <c r="BO96" s="5"/>
      <c r="BS96" s="5"/>
      <c r="BW96" s="5"/>
      <c r="CA96" s="5"/>
      <c r="CE96" s="5"/>
      <c r="CI96" s="5"/>
    </row>
    <row r="97" spans="4:87" x14ac:dyDescent="0.25">
      <c r="D97" s="7" t="str">
        <f t="shared" si="6"/>
        <v/>
      </c>
      <c r="E97" s="6" t="str">
        <f t="shared" si="7"/>
        <v/>
      </c>
      <c r="F97" t="str">
        <f t="shared" si="8"/>
        <v/>
      </c>
      <c r="G97" t="str">
        <f t="shared" si="9"/>
        <v/>
      </c>
      <c r="H97" t="str">
        <f t="shared" si="10"/>
        <v/>
      </c>
      <c r="K97" s="5"/>
      <c r="U97" s="5"/>
      <c r="AD97" s="5"/>
      <c r="AR97" s="5"/>
      <c r="BA97" s="35"/>
      <c r="BO97" s="5"/>
      <c r="BS97" s="5"/>
      <c r="BW97" s="5"/>
      <c r="CA97" s="5"/>
      <c r="CE97" s="5"/>
      <c r="CI97" s="5"/>
    </row>
    <row r="98" spans="4:87" x14ac:dyDescent="0.25">
      <c r="D98" s="7" t="str">
        <f t="shared" si="6"/>
        <v/>
      </c>
      <c r="E98" s="6" t="str">
        <f t="shared" si="7"/>
        <v/>
      </c>
      <c r="F98" t="str">
        <f t="shared" si="8"/>
        <v/>
      </c>
      <c r="G98" t="str">
        <f t="shared" si="9"/>
        <v/>
      </c>
      <c r="H98" t="str">
        <f t="shared" si="10"/>
        <v/>
      </c>
      <c r="K98" s="5"/>
      <c r="U98" s="5"/>
      <c r="AD98" s="5"/>
      <c r="AR98" s="5"/>
      <c r="BA98" s="35"/>
      <c r="BO98" s="5"/>
      <c r="BS98" s="5"/>
      <c r="BW98" s="5"/>
      <c r="CA98" s="5"/>
      <c r="CE98" s="5"/>
      <c r="CI98" s="5"/>
    </row>
    <row r="99" spans="4:87" x14ac:dyDescent="0.25">
      <c r="D99" s="7" t="str">
        <f t="shared" si="6"/>
        <v/>
      </c>
      <c r="E99" s="6" t="str">
        <f t="shared" si="7"/>
        <v/>
      </c>
      <c r="F99" t="str">
        <f t="shared" si="8"/>
        <v/>
      </c>
      <c r="G99" t="str">
        <f t="shared" si="9"/>
        <v/>
      </c>
      <c r="H99" t="str">
        <f t="shared" si="10"/>
        <v/>
      </c>
      <c r="K99" s="5"/>
      <c r="U99" s="5"/>
      <c r="AD99" s="5"/>
      <c r="AR99" s="5"/>
      <c r="BA99" s="35"/>
      <c r="BO99" s="5"/>
      <c r="BS99" s="5"/>
      <c r="BW99" s="5"/>
      <c r="CA99" s="5"/>
      <c r="CE99" s="5"/>
      <c r="CI99" s="5"/>
    </row>
    <row r="100" spans="4:87" x14ac:dyDescent="0.25">
      <c r="D100" s="7" t="str">
        <f t="shared" si="6"/>
        <v/>
      </c>
      <c r="E100" s="6" t="str">
        <f t="shared" si="7"/>
        <v/>
      </c>
      <c r="F100" t="str">
        <f t="shared" si="8"/>
        <v/>
      </c>
      <c r="G100" t="str">
        <f t="shared" si="9"/>
        <v/>
      </c>
      <c r="H100" t="str">
        <f t="shared" si="10"/>
        <v/>
      </c>
      <c r="K100" s="5"/>
      <c r="U100" s="5"/>
      <c r="AD100" s="5"/>
      <c r="AR100" s="5"/>
      <c r="BA100" s="35"/>
      <c r="BO100" s="5"/>
      <c r="BS100" s="5"/>
      <c r="BW100" s="5"/>
      <c r="CA100" s="5"/>
      <c r="CE100" s="5"/>
      <c r="CI100" s="5"/>
    </row>
    <row r="101" spans="4:87" x14ac:dyDescent="0.25">
      <c r="D101" s="7" t="str">
        <f t="shared" si="6"/>
        <v/>
      </c>
      <c r="E101" s="6" t="str">
        <f t="shared" si="7"/>
        <v/>
      </c>
      <c r="F101" t="str">
        <f t="shared" si="8"/>
        <v/>
      </c>
      <c r="G101" t="str">
        <f t="shared" si="9"/>
        <v/>
      </c>
      <c r="H101" t="str">
        <f t="shared" si="10"/>
        <v/>
      </c>
      <c r="K101" s="5"/>
      <c r="U101" s="5"/>
      <c r="AD101" s="5"/>
      <c r="AR101" s="5"/>
      <c r="BA101" s="35"/>
      <c r="BO101" s="5"/>
      <c r="BS101" s="5"/>
      <c r="BW101" s="5"/>
      <c r="CA101" s="5"/>
      <c r="CE101" s="5"/>
      <c r="CI101" s="5"/>
    </row>
    <row r="102" spans="4:87" x14ac:dyDescent="0.25">
      <c r="D102" s="7" t="str">
        <f t="shared" si="6"/>
        <v/>
      </c>
      <c r="E102" s="6" t="str">
        <f t="shared" si="7"/>
        <v/>
      </c>
      <c r="F102" t="str">
        <f t="shared" si="8"/>
        <v/>
      </c>
      <c r="G102" t="str">
        <f t="shared" si="9"/>
        <v/>
      </c>
      <c r="H102" t="str">
        <f t="shared" si="10"/>
        <v/>
      </c>
      <c r="K102" s="5"/>
      <c r="U102" s="5"/>
      <c r="AD102" s="5"/>
      <c r="AR102" s="5"/>
      <c r="BA102" s="35"/>
      <c r="BO102" s="5"/>
      <c r="BS102" s="5"/>
      <c r="BW102" s="5"/>
      <c r="CA102" s="5"/>
      <c r="CE102" s="5"/>
      <c r="CI102" s="5"/>
    </row>
    <row r="103" spans="4:87" x14ac:dyDescent="0.25">
      <c r="D103" s="7" t="str">
        <f t="shared" si="6"/>
        <v/>
      </c>
      <c r="E103" s="6" t="str">
        <f t="shared" si="7"/>
        <v/>
      </c>
      <c r="F103" t="str">
        <f t="shared" si="8"/>
        <v/>
      </c>
      <c r="G103" t="str">
        <f t="shared" si="9"/>
        <v/>
      </c>
      <c r="H103" t="str">
        <f t="shared" si="10"/>
        <v/>
      </c>
      <c r="K103" s="5"/>
      <c r="U103" s="5"/>
      <c r="AD103" s="5"/>
      <c r="AR103" s="5"/>
      <c r="BA103" s="35"/>
      <c r="BO103" s="5"/>
      <c r="BS103" s="5"/>
      <c r="BW103" s="5"/>
      <c r="CA103" s="5"/>
      <c r="CE103" s="5"/>
      <c r="CI103" s="5"/>
    </row>
    <row r="104" spans="4:87" x14ac:dyDescent="0.25">
      <c r="D104" s="7" t="str">
        <f t="shared" si="6"/>
        <v/>
      </c>
      <c r="E104" s="6" t="str">
        <f t="shared" si="7"/>
        <v/>
      </c>
      <c r="F104" t="str">
        <f t="shared" si="8"/>
        <v/>
      </c>
      <c r="G104" t="str">
        <f t="shared" si="9"/>
        <v/>
      </c>
      <c r="H104" t="str">
        <f t="shared" si="10"/>
        <v/>
      </c>
      <c r="K104" s="5"/>
      <c r="U104" s="5"/>
      <c r="AD104" s="5"/>
      <c r="AR104" s="5"/>
      <c r="BA104" s="35"/>
      <c r="BO104" s="5"/>
      <c r="BS104" s="5"/>
      <c r="BW104" s="5"/>
      <c r="CA104" s="5"/>
      <c r="CE104" s="5"/>
      <c r="CI104" s="5"/>
    </row>
    <row r="105" spans="4:87" x14ac:dyDescent="0.25">
      <c r="D105" s="7" t="str">
        <f t="shared" si="6"/>
        <v/>
      </c>
      <c r="E105" s="6" t="str">
        <f t="shared" si="7"/>
        <v/>
      </c>
      <c r="F105" t="str">
        <f t="shared" si="8"/>
        <v/>
      </c>
      <c r="G105" t="str">
        <f t="shared" si="9"/>
        <v/>
      </c>
      <c r="H105" t="str">
        <f t="shared" si="10"/>
        <v/>
      </c>
      <c r="K105" s="5"/>
      <c r="U105" s="5"/>
      <c r="AD105" s="5"/>
      <c r="AR105" s="5"/>
      <c r="BA105" s="35"/>
      <c r="BO105" s="5"/>
      <c r="BS105" s="5"/>
      <c r="BW105" s="5"/>
      <c r="CA105" s="5"/>
      <c r="CE105" s="5"/>
      <c r="CI105" s="5"/>
    </row>
    <row r="106" spans="4:87" x14ac:dyDescent="0.25">
      <c r="D106" s="7" t="str">
        <f t="shared" si="6"/>
        <v/>
      </c>
      <c r="E106" s="6" t="str">
        <f t="shared" si="7"/>
        <v/>
      </c>
      <c r="F106" t="str">
        <f t="shared" si="8"/>
        <v/>
      </c>
      <c r="G106" t="str">
        <f t="shared" si="9"/>
        <v/>
      </c>
      <c r="H106" t="str">
        <f t="shared" si="10"/>
        <v/>
      </c>
      <c r="K106" s="5"/>
      <c r="U106" s="5"/>
      <c r="AD106" s="5"/>
      <c r="AR106" s="5"/>
      <c r="BA106" s="35"/>
      <c r="BO106" s="5"/>
      <c r="BS106" s="5"/>
      <c r="BW106" s="5"/>
      <c r="CA106" s="5"/>
      <c r="CE106" s="5"/>
      <c r="CI106" s="5"/>
    </row>
    <row r="107" spans="4:87" x14ac:dyDescent="0.25">
      <c r="D107" s="7" t="str">
        <f t="shared" si="6"/>
        <v/>
      </c>
      <c r="E107" s="6" t="str">
        <f t="shared" si="7"/>
        <v/>
      </c>
      <c r="F107" t="str">
        <f t="shared" si="8"/>
        <v/>
      </c>
      <c r="G107" t="str">
        <f t="shared" si="9"/>
        <v/>
      </c>
      <c r="H107" t="str">
        <f t="shared" si="10"/>
        <v/>
      </c>
      <c r="K107" s="5"/>
      <c r="U107" s="5"/>
      <c r="AD107" s="5"/>
      <c r="AR107" s="5"/>
      <c r="BA107" s="35"/>
      <c r="BO107" s="5"/>
      <c r="BS107" s="5"/>
      <c r="BW107" s="5"/>
      <c r="CA107" s="5"/>
      <c r="CE107" s="5"/>
      <c r="CI107" s="5"/>
    </row>
    <row r="108" spans="4:87" x14ac:dyDescent="0.25">
      <c r="D108" s="7" t="str">
        <f t="shared" si="6"/>
        <v/>
      </c>
      <c r="E108" s="6" t="str">
        <f t="shared" si="7"/>
        <v/>
      </c>
      <c r="F108" t="str">
        <f t="shared" si="8"/>
        <v/>
      </c>
      <c r="G108" t="str">
        <f t="shared" si="9"/>
        <v/>
      </c>
      <c r="H108" t="str">
        <f t="shared" si="10"/>
        <v/>
      </c>
      <c r="K108" s="5"/>
      <c r="U108" s="5"/>
      <c r="AD108" s="5"/>
      <c r="AR108" s="5"/>
      <c r="BA108" s="35"/>
      <c r="BO108" s="5"/>
      <c r="BS108" s="5"/>
      <c r="BW108" s="5"/>
      <c r="CA108" s="5"/>
      <c r="CE108" s="5"/>
      <c r="CI108" s="5"/>
    </row>
    <row r="109" spans="4:87" x14ac:dyDescent="0.25">
      <c r="D109" s="7" t="str">
        <f t="shared" si="6"/>
        <v/>
      </c>
      <c r="E109" s="6" t="str">
        <f t="shared" si="7"/>
        <v/>
      </c>
      <c r="F109" t="str">
        <f t="shared" si="8"/>
        <v/>
      </c>
      <c r="G109" t="str">
        <f t="shared" si="9"/>
        <v/>
      </c>
      <c r="H109" t="str">
        <f t="shared" si="10"/>
        <v/>
      </c>
      <c r="K109" s="5"/>
      <c r="U109" s="5"/>
      <c r="AD109" s="5"/>
      <c r="AR109" s="5"/>
      <c r="BA109" s="35"/>
      <c r="BO109" s="5"/>
      <c r="BS109" s="5"/>
      <c r="BW109" s="5"/>
      <c r="CA109" s="5"/>
      <c r="CE109" s="5"/>
      <c r="CI109" s="5"/>
    </row>
    <row r="110" spans="4:87" x14ac:dyDescent="0.25">
      <c r="D110" s="7" t="str">
        <f t="shared" si="6"/>
        <v/>
      </c>
      <c r="E110" s="6" t="str">
        <f t="shared" si="7"/>
        <v/>
      </c>
      <c r="F110" t="str">
        <f t="shared" si="8"/>
        <v/>
      </c>
      <c r="G110" t="str">
        <f t="shared" si="9"/>
        <v/>
      </c>
      <c r="H110" t="str">
        <f t="shared" si="10"/>
        <v/>
      </c>
      <c r="K110" s="5"/>
      <c r="U110" s="5"/>
      <c r="AD110" s="5"/>
      <c r="AR110" s="5"/>
      <c r="BA110" s="35"/>
      <c r="BO110" s="5"/>
      <c r="BS110" s="5"/>
      <c r="BW110" s="5"/>
      <c r="CA110" s="5"/>
      <c r="CE110" s="5"/>
      <c r="CI110" s="5"/>
    </row>
    <row r="111" spans="4:87" x14ac:dyDescent="0.25">
      <c r="D111" s="7" t="str">
        <f t="shared" si="6"/>
        <v/>
      </c>
      <c r="E111" s="6" t="str">
        <f t="shared" si="7"/>
        <v/>
      </c>
      <c r="F111" t="str">
        <f t="shared" si="8"/>
        <v/>
      </c>
      <c r="G111" t="str">
        <f t="shared" si="9"/>
        <v/>
      </c>
      <c r="H111" t="str">
        <f t="shared" si="10"/>
        <v/>
      </c>
      <c r="K111" s="5"/>
      <c r="U111" s="5"/>
      <c r="AD111" s="5"/>
      <c r="AR111" s="5"/>
      <c r="BA111" s="35"/>
      <c r="BO111" s="5"/>
      <c r="BS111" s="5"/>
      <c r="BW111" s="5"/>
      <c r="CA111" s="5"/>
      <c r="CE111" s="5"/>
      <c r="CI111" s="5"/>
    </row>
    <row r="112" spans="4:87" x14ac:dyDescent="0.25">
      <c r="D112" s="7" t="str">
        <f t="shared" si="6"/>
        <v/>
      </c>
      <c r="E112" s="6" t="str">
        <f t="shared" si="7"/>
        <v/>
      </c>
      <c r="F112" t="str">
        <f t="shared" si="8"/>
        <v/>
      </c>
      <c r="G112" t="str">
        <f t="shared" si="9"/>
        <v/>
      </c>
      <c r="H112" t="str">
        <f t="shared" si="10"/>
        <v/>
      </c>
      <c r="K112" s="5"/>
      <c r="U112" s="5"/>
      <c r="AD112" s="5"/>
      <c r="AR112" s="5"/>
      <c r="BA112" s="35"/>
      <c r="BO112" s="5"/>
      <c r="BS112" s="5"/>
      <c r="BW112" s="5"/>
      <c r="CA112" s="5"/>
      <c r="CE112" s="5"/>
      <c r="CI112" s="5"/>
    </row>
    <row r="113" spans="4:87" x14ac:dyDescent="0.25">
      <c r="D113" s="7" t="str">
        <f t="shared" si="6"/>
        <v/>
      </c>
      <c r="E113" s="6" t="str">
        <f t="shared" si="7"/>
        <v/>
      </c>
      <c r="F113" t="str">
        <f t="shared" si="8"/>
        <v/>
      </c>
      <c r="G113" t="str">
        <f t="shared" si="9"/>
        <v/>
      </c>
      <c r="H113" t="str">
        <f t="shared" si="10"/>
        <v/>
      </c>
      <c r="K113" s="5"/>
      <c r="U113" s="5"/>
      <c r="AD113" s="5"/>
      <c r="AR113" s="5"/>
      <c r="BA113" s="35"/>
      <c r="BO113" s="5"/>
      <c r="BS113" s="5"/>
      <c r="BW113" s="5"/>
      <c r="CA113" s="5"/>
      <c r="CE113" s="5"/>
      <c r="CI113" s="5"/>
    </row>
    <row r="114" spans="4:87" x14ac:dyDescent="0.25">
      <c r="D114" s="7" t="str">
        <f t="shared" si="6"/>
        <v/>
      </c>
      <c r="E114" s="6" t="str">
        <f t="shared" si="7"/>
        <v/>
      </c>
      <c r="F114" t="str">
        <f t="shared" si="8"/>
        <v/>
      </c>
      <c r="G114" t="str">
        <f t="shared" si="9"/>
        <v/>
      </c>
      <c r="H114" t="str">
        <f t="shared" si="10"/>
        <v/>
      </c>
      <c r="K114" s="5"/>
      <c r="U114" s="5"/>
      <c r="AD114" s="5"/>
      <c r="AR114" s="5"/>
      <c r="BA114" s="35"/>
      <c r="BO114" s="5"/>
      <c r="BS114" s="5"/>
      <c r="BW114" s="5"/>
      <c r="CA114" s="5"/>
      <c r="CE114" s="5"/>
      <c r="CI114" s="5"/>
    </row>
    <row r="115" spans="4:87" x14ac:dyDescent="0.25">
      <c r="D115" s="7" t="str">
        <f t="shared" si="6"/>
        <v/>
      </c>
      <c r="E115" s="6" t="str">
        <f t="shared" si="7"/>
        <v/>
      </c>
      <c r="F115" t="str">
        <f t="shared" si="8"/>
        <v/>
      </c>
      <c r="G115" t="str">
        <f t="shared" si="9"/>
        <v/>
      </c>
      <c r="H115" t="str">
        <f t="shared" si="10"/>
        <v/>
      </c>
      <c r="K115" s="5"/>
      <c r="U115" s="5"/>
      <c r="AD115" s="5"/>
      <c r="AR115" s="5"/>
      <c r="BA115" s="35"/>
      <c r="BO115" s="5"/>
      <c r="BS115" s="5"/>
      <c r="BW115" s="5"/>
      <c r="CA115" s="5"/>
      <c r="CE115" s="5"/>
      <c r="CI115" s="5"/>
    </row>
    <row r="116" spans="4:87" x14ac:dyDescent="0.25">
      <c r="D116" s="7" t="str">
        <f t="shared" si="6"/>
        <v/>
      </c>
      <c r="E116" s="6" t="str">
        <f t="shared" si="7"/>
        <v/>
      </c>
      <c r="F116" t="str">
        <f t="shared" si="8"/>
        <v/>
      </c>
      <c r="G116" t="str">
        <f t="shared" si="9"/>
        <v/>
      </c>
      <c r="H116" t="str">
        <f t="shared" si="10"/>
        <v/>
      </c>
      <c r="K116" s="5"/>
      <c r="U116" s="5"/>
      <c r="AD116" s="5"/>
      <c r="AR116" s="5"/>
      <c r="BA116" s="35"/>
      <c r="BO116" s="5"/>
      <c r="BS116" s="5"/>
      <c r="BW116" s="5"/>
      <c r="CA116" s="5"/>
      <c r="CE116" s="5"/>
      <c r="CI116" s="5"/>
    </row>
    <row r="117" spans="4:87" x14ac:dyDescent="0.25">
      <c r="D117" s="7" t="str">
        <f t="shared" si="6"/>
        <v/>
      </c>
      <c r="E117" s="6" t="str">
        <f t="shared" si="7"/>
        <v/>
      </c>
      <c r="F117" t="str">
        <f t="shared" si="8"/>
        <v/>
      </c>
      <c r="G117" t="str">
        <f t="shared" si="9"/>
        <v/>
      </c>
      <c r="H117" t="str">
        <f t="shared" si="10"/>
        <v/>
      </c>
      <c r="K117" s="5"/>
      <c r="U117" s="5"/>
      <c r="AD117" s="5"/>
      <c r="AR117" s="5"/>
      <c r="BA117" s="35"/>
      <c r="BO117" s="5"/>
      <c r="BS117" s="5"/>
      <c r="BW117" s="5"/>
      <c r="CA117" s="5"/>
      <c r="CE117" s="5"/>
      <c r="CI117" s="5"/>
    </row>
    <row r="118" spans="4:87" x14ac:dyDescent="0.25">
      <c r="D118" s="7" t="str">
        <f t="shared" si="6"/>
        <v/>
      </c>
      <c r="E118" s="6" t="str">
        <f t="shared" si="7"/>
        <v/>
      </c>
      <c r="F118" t="str">
        <f t="shared" si="8"/>
        <v/>
      </c>
      <c r="G118" t="str">
        <f t="shared" si="9"/>
        <v/>
      </c>
      <c r="H118" t="str">
        <f t="shared" si="10"/>
        <v/>
      </c>
      <c r="K118" s="5"/>
      <c r="U118" s="5"/>
      <c r="AD118" s="5"/>
      <c r="AR118" s="5"/>
      <c r="BA118" s="35"/>
      <c r="BO118" s="5"/>
      <c r="BS118" s="5"/>
      <c r="BW118" s="5"/>
      <c r="CA118" s="5"/>
      <c r="CE118" s="5"/>
      <c r="CI118" s="5"/>
    </row>
    <row r="119" spans="4:87" x14ac:dyDescent="0.25">
      <c r="D119" s="7" t="str">
        <f t="shared" si="6"/>
        <v/>
      </c>
      <c r="E119" s="6" t="str">
        <f t="shared" si="7"/>
        <v/>
      </c>
      <c r="F119" t="str">
        <f t="shared" si="8"/>
        <v/>
      </c>
      <c r="G119" t="str">
        <f t="shared" si="9"/>
        <v/>
      </c>
      <c r="H119" t="str">
        <f t="shared" si="10"/>
        <v/>
      </c>
      <c r="K119" s="5"/>
      <c r="U119" s="5"/>
      <c r="AD119" s="5"/>
      <c r="AR119" s="5"/>
      <c r="BA119" s="35"/>
      <c r="BO119" s="5"/>
      <c r="BS119" s="5"/>
      <c r="BW119" s="5"/>
      <c r="CA119" s="5"/>
      <c r="CE119" s="5"/>
      <c r="CI119" s="5"/>
    </row>
    <row r="120" spans="4:87" x14ac:dyDescent="0.25">
      <c r="D120" s="7" t="str">
        <f t="shared" si="6"/>
        <v/>
      </c>
      <c r="E120" s="6" t="str">
        <f t="shared" si="7"/>
        <v/>
      </c>
      <c r="F120" t="str">
        <f t="shared" si="8"/>
        <v/>
      </c>
      <c r="G120" t="str">
        <f t="shared" si="9"/>
        <v/>
      </c>
      <c r="H120" t="str">
        <f t="shared" si="10"/>
        <v/>
      </c>
      <c r="K120" s="5"/>
      <c r="U120" s="5"/>
      <c r="AD120" s="5"/>
      <c r="AR120" s="5"/>
      <c r="BA120" s="35"/>
      <c r="BO120" s="5"/>
      <c r="BS120" s="5"/>
      <c r="BW120" s="5"/>
      <c r="CA120" s="5"/>
      <c r="CE120" s="5"/>
      <c r="CI120" s="5"/>
    </row>
    <row r="121" spans="4:87" x14ac:dyDescent="0.25">
      <c r="D121" s="7" t="str">
        <f t="shared" si="6"/>
        <v/>
      </c>
      <c r="E121" s="6" t="str">
        <f t="shared" si="7"/>
        <v/>
      </c>
      <c r="F121" t="str">
        <f t="shared" si="8"/>
        <v/>
      </c>
      <c r="G121" t="str">
        <f t="shared" si="9"/>
        <v/>
      </c>
      <c r="H121" t="str">
        <f t="shared" si="10"/>
        <v/>
      </c>
      <c r="K121" s="5"/>
      <c r="U121" s="5"/>
      <c r="AD121" s="5"/>
      <c r="AR121" s="5"/>
      <c r="BA121" s="35"/>
      <c r="BO121" s="5"/>
      <c r="BS121" s="5"/>
      <c r="BW121" s="5"/>
      <c r="CA121" s="5"/>
      <c r="CE121" s="5"/>
      <c r="CI121" s="5"/>
    </row>
    <row r="122" spans="4:87" x14ac:dyDescent="0.25">
      <c r="D122" s="7" t="str">
        <f t="shared" si="6"/>
        <v/>
      </c>
      <c r="E122" s="6" t="str">
        <f t="shared" si="7"/>
        <v/>
      </c>
      <c r="F122" t="str">
        <f t="shared" si="8"/>
        <v/>
      </c>
      <c r="G122" t="str">
        <f t="shared" si="9"/>
        <v/>
      </c>
      <c r="H122" t="str">
        <f t="shared" si="10"/>
        <v/>
      </c>
      <c r="K122" s="5"/>
      <c r="U122" s="5"/>
      <c r="AD122" s="5"/>
      <c r="AR122" s="5"/>
      <c r="BA122" s="35"/>
      <c r="BO122" s="5"/>
      <c r="BS122" s="5"/>
      <c r="BW122" s="5"/>
      <c r="CA122" s="5"/>
      <c r="CE122" s="5"/>
      <c r="CI122" s="5"/>
    </row>
    <row r="123" spans="4:87" x14ac:dyDescent="0.25">
      <c r="D123" s="7" t="str">
        <f t="shared" si="6"/>
        <v/>
      </c>
      <c r="E123" s="6" t="str">
        <f t="shared" si="7"/>
        <v/>
      </c>
      <c r="F123" t="str">
        <f t="shared" si="8"/>
        <v/>
      </c>
      <c r="G123" t="str">
        <f t="shared" si="9"/>
        <v/>
      </c>
      <c r="H123" t="str">
        <f t="shared" si="10"/>
        <v/>
      </c>
      <c r="K123" s="5"/>
      <c r="U123" s="5"/>
      <c r="AD123" s="5"/>
      <c r="AR123" s="5"/>
      <c r="BA123" s="35"/>
      <c r="BO123" s="5"/>
      <c r="BS123" s="5"/>
      <c r="BW123" s="5"/>
      <c r="CA123" s="5"/>
      <c r="CE123" s="5"/>
      <c r="CI123" s="5"/>
    </row>
    <row r="124" spans="4:87" x14ac:dyDescent="0.25">
      <c r="D124" s="7" t="str">
        <f t="shared" si="6"/>
        <v/>
      </c>
      <c r="E124" s="6" t="str">
        <f t="shared" si="7"/>
        <v/>
      </c>
      <c r="F124" t="str">
        <f t="shared" si="8"/>
        <v/>
      </c>
      <c r="G124" t="str">
        <f t="shared" si="9"/>
        <v/>
      </c>
      <c r="H124" t="str">
        <f t="shared" si="10"/>
        <v/>
      </c>
      <c r="K124" s="5"/>
      <c r="U124" s="5"/>
      <c r="AD124" s="5"/>
      <c r="AR124" s="5"/>
      <c r="BA124" s="35"/>
      <c r="BO124" s="5"/>
      <c r="BS124" s="5"/>
      <c r="BW124" s="5"/>
      <c r="CA124" s="5"/>
      <c r="CE124" s="5"/>
      <c r="CI124" s="5"/>
    </row>
    <row r="125" spans="4:87" x14ac:dyDescent="0.25">
      <c r="D125" s="7" t="str">
        <f t="shared" si="6"/>
        <v/>
      </c>
      <c r="E125" s="6" t="str">
        <f t="shared" si="7"/>
        <v/>
      </c>
      <c r="F125" t="str">
        <f t="shared" si="8"/>
        <v/>
      </c>
      <c r="G125" t="str">
        <f t="shared" si="9"/>
        <v/>
      </c>
      <c r="H125" t="str">
        <f t="shared" si="10"/>
        <v/>
      </c>
      <c r="K125" s="5"/>
      <c r="U125" s="5"/>
      <c r="AD125" s="5"/>
      <c r="AR125" s="5"/>
      <c r="BA125" s="35"/>
      <c r="BO125" s="5"/>
      <c r="BS125" s="5"/>
      <c r="BW125" s="5"/>
      <c r="CA125" s="5"/>
      <c r="CE125" s="5"/>
      <c r="CI125" s="5"/>
    </row>
    <row r="126" spans="4:87" x14ac:dyDescent="0.25">
      <c r="D126" s="7" t="str">
        <f t="shared" si="6"/>
        <v/>
      </c>
      <c r="E126" s="6" t="str">
        <f t="shared" si="7"/>
        <v/>
      </c>
      <c r="F126" t="str">
        <f t="shared" si="8"/>
        <v/>
      </c>
      <c r="G126" t="str">
        <f t="shared" si="9"/>
        <v/>
      </c>
      <c r="H126" t="str">
        <f t="shared" si="10"/>
        <v/>
      </c>
      <c r="K126" s="5"/>
      <c r="U126" s="5"/>
      <c r="AD126" s="5"/>
      <c r="AR126" s="5"/>
      <c r="BA126" s="35"/>
      <c r="BO126" s="5"/>
      <c r="BS126" s="5"/>
      <c r="BW126" s="5"/>
      <c r="CA126" s="5"/>
      <c r="CE126" s="5"/>
      <c r="CI126" s="5"/>
    </row>
    <row r="127" spans="4:87" x14ac:dyDescent="0.25">
      <c r="D127" s="7" t="str">
        <f t="shared" si="6"/>
        <v/>
      </c>
      <c r="E127" s="6" t="str">
        <f t="shared" si="7"/>
        <v/>
      </c>
      <c r="F127" t="str">
        <f t="shared" si="8"/>
        <v/>
      </c>
      <c r="G127" t="str">
        <f t="shared" si="9"/>
        <v/>
      </c>
      <c r="H127" t="str">
        <f t="shared" si="10"/>
        <v/>
      </c>
      <c r="K127" s="5"/>
      <c r="U127" s="5"/>
      <c r="AD127" s="5"/>
      <c r="AR127" s="5"/>
      <c r="BA127" s="35"/>
      <c r="BO127" s="5"/>
      <c r="BS127" s="5"/>
      <c r="BW127" s="5"/>
      <c r="CA127" s="5"/>
      <c r="CE127" s="5"/>
      <c r="CI127" s="5"/>
    </row>
    <row r="128" spans="4:87" x14ac:dyDescent="0.25">
      <c r="D128" s="7" t="str">
        <f t="shared" si="6"/>
        <v/>
      </c>
      <c r="E128" s="6" t="str">
        <f t="shared" si="7"/>
        <v/>
      </c>
      <c r="F128" t="str">
        <f t="shared" si="8"/>
        <v/>
      </c>
      <c r="G128" t="str">
        <f t="shared" si="9"/>
        <v/>
      </c>
      <c r="H128" t="str">
        <f t="shared" si="10"/>
        <v/>
      </c>
      <c r="K128" s="5"/>
      <c r="U128" s="5"/>
      <c r="AD128" s="5"/>
      <c r="AR128" s="5"/>
      <c r="BA128" s="35"/>
      <c r="BO128" s="5"/>
      <c r="BS128" s="5"/>
      <c r="BW128" s="5"/>
      <c r="CA128" s="5"/>
      <c r="CE128" s="5"/>
      <c r="CI128" s="5"/>
    </row>
    <row r="129" spans="4:87" x14ac:dyDescent="0.25">
      <c r="D129" s="7" t="str">
        <f t="shared" si="6"/>
        <v/>
      </c>
      <c r="E129" s="6" t="str">
        <f t="shared" si="7"/>
        <v/>
      </c>
      <c r="F129" t="str">
        <f t="shared" si="8"/>
        <v/>
      </c>
      <c r="G129" t="str">
        <f t="shared" si="9"/>
        <v/>
      </c>
      <c r="H129" t="str">
        <f t="shared" si="10"/>
        <v/>
      </c>
      <c r="K129" s="5"/>
      <c r="U129" s="5"/>
      <c r="AD129" s="5"/>
      <c r="AR129" s="5"/>
      <c r="BA129" s="35"/>
      <c r="BO129" s="5"/>
      <c r="BS129" s="5"/>
      <c r="BW129" s="5"/>
      <c r="CA129" s="5"/>
      <c r="CE129" s="5"/>
      <c r="CI129" s="5"/>
    </row>
    <row r="130" spans="4:87" x14ac:dyDescent="0.25">
      <c r="D130" s="7" t="str">
        <f t="shared" si="6"/>
        <v/>
      </c>
      <c r="E130" s="6" t="str">
        <f t="shared" si="7"/>
        <v/>
      </c>
      <c r="F130" t="str">
        <f t="shared" si="8"/>
        <v/>
      </c>
      <c r="G130" t="str">
        <f t="shared" si="9"/>
        <v/>
      </c>
      <c r="H130" t="str">
        <f t="shared" si="10"/>
        <v/>
      </c>
      <c r="K130" s="5"/>
      <c r="U130" s="5"/>
      <c r="AD130" s="5"/>
      <c r="AR130" s="5"/>
      <c r="BA130" s="35"/>
      <c r="BO130" s="5"/>
      <c r="BS130" s="5"/>
      <c r="BW130" s="5"/>
      <c r="CA130" s="5"/>
      <c r="CE130" s="5"/>
      <c r="CI130" s="5"/>
    </row>
    <row r="131" spans="4:87" x14ac:dyDescent="0.25">
      <c r="D131" s="7" t="str">
        <f t="shared" si="6"/>
        <v/>
      </c>
      <c r="E131" s="6" t="str">
        <f t="shared" si="7"/>
        <v/>
      </c>
      <c r="F131" t="str">
        <f t="shared" si="8"/>
        <v/>
      </c>
      <c r="G131" t="str">
        <f t="shared" si="9"/>
        <v/>
      </c>
      <c r="H131" t="str">
        <f t="shared" si="10"/>
        <v/>
      </c>
      <c r="K131" s="5"/>
      <c r="U131" s="5"/>
      <c r="AD131" s="5"/>
      <c r="AR131" s="5"/>
      <c r="BA131" s="35"/>
      <c r="BO131" s="5"/>
      <c r="BS131" s="5"/>
      <c r="BW131" s="5"/>
      <c r="CA131" s="5"/>
      <c r="CE131" s="5"/>
      <c r="CI131" s="5"/>
    </row>
    <row r="132" spans="4:87" x14ac:dyDescent="0.25">
      <c r="D132" s="7" t="str">
        <f t="shared" si="6"/>
        <v/>
      </c>
      <c r="E132" s="6" t="str">
        <f t="shared" si="7"/>
        <v/>
      </c>
      <c r="F132" t="str">
        <f t="shared" si="8"/>
        <v/>
      </c>
      <c r="G132" t="str">
        <f t="shared" si="9"/>
        <v/>
      </c>
      <c r="H132" t="str">
        <f t="shared" si="10"/>
        <v/>
      </c>
      <c r="K132" s="5"/>
      <c r="U132" s="5"/>
      <c r="AD132" s="5"/>
      <c r="AR132" s="5"/>
      <c r="BA132" s="35"/>
      <c r="BO132" s="5"/>
      <c r="BS132" s="5"/>
      <c r="BW132" s="5"/>
      <c r="CA132" s="5"/>
      <c r="CE132" s="5"/>
      <c r="CI132" s="5"/>
    </row>
    <row r="133" spans="4:87" x14ac:dyDescent="0.25">
      <c r="D133" s="7" t="str">
        <f t="shared" si="6"/>
        <v/>
      </c>
      <c r="E133" s="6" t="str">
        <f t="shared" si="7"/>
        <v/>
      </c>
      <c r="F133" t="str">
        <f t="shared" si="8"/>
        <v/>
      </c>
      <c r="G133" t="str">
        <f t="shared" si="9"/>
        <v/>
      </c>
      <c r="H133" t="str">
        <f t="shared" si="10"/>
        <v/>
      </c>
      <c r="K133" s="5"/>
      <c r="U133" s="5"/>
      <c r="AD133" s="5"/>
      <c r="AR133" s="5"/>
      <c r="BA133" s="35"/>
      <c r="BO133" s="5"/>
      <c r="BS133" s="5"/>
      <c r="BW133" s="5"/>
      <c r="CA133" s="5"/>
      <c r="CE133" s="5"/>
      <c r="CI133" s="5"/>
    </row>
    <row r="134" spans="4:87" x14ac:dyDescent="0.25">
      <c r="D134" s="7" t="str">
        <f t="shared" si="6"/>
        <v/>
      </c>
      <c r="E134" s="6" t="str">
        <f t="shared" si="7"/>
        <v/>
      </c>
      <c r="F134" t="str">
        <f t="shared" si="8"/>
        <v/>
      </c>
      <c r="G134" t="str">
        <f t="shared" si="9"/>
        <v/>
      </c>
      <c r="H134" t="str">
        <f t="shared" si="10"/>
        <v/>
      </c>
      <c r="K134" s="5"/>
      <c r="U134" s="5"/>
      <c r="AD134" s="5"/>
      <c r="AR134" s="5"/>
      <c r="BA134" s="35"/>
      <c r="BO134" s="5"/>
      <c r="BS134" s="5"/>
      <c r="BW134" s="5"/>
      <c r="CA134" s="5"/>
      <c r="CE134" s="5"/>
      <c r="CI134" s="5"/>
    </row>
    <row r="135" spans="4:87" x14ac:dyDescent="0.25">
      <c r="D135" s="7" t="str">
        <f t="shared" si="6"/>
        <v/>
      </c>
      <c r="E135" s="6" t="str">
        <f t="shared" si="7"/>
        <v/>
      </c>
      <c r="F135" t="str">
        <f t="shared" si="8"/>
        <v/>
      </c>
      <c r="G135" t="str">
        <f t="shared" si="9"/>
        <v/>
      </c>
      <c r="H135" t="str">
        <f t="shared" si="10"/>
        <v/>
      </c>
      <c r="K135" s="5"/>
      <c r="U135" s="5"/>
      <c r="AD135" s="5"/>
      <c r="AR135" s="5"/>
      <c r="BA135" s="35"/>
      <c r="BO135" s="5"/>
      <c r="BS135" s="5"/>
      <c r="BW135" s="5"/>
      <c r="CA135" s="5"/>
      <c r="CE135" s="5"/>
      <c r="CI135" s="5"/>
    </row>
    <row r="136" spans="4:87" x14ac:dyDescent="0.25">
      <c r="D136" s="7" t="str">
        <f t="shared" ref="D136:D199" si="11">IF(K136&lt;&gt;"",1+INT((K136-(DATE(YEAR(K136),1,2)-WEEKDAY(DATE(YEAR(K136),1,1))))/7),"")</f>
        <v/>
      </c>
      <c r="E136" s="6" t="str">
        <f t="shared" ref="E136:E199" si="12">IF(K136&lt;&gt;"",TEXT(K136,"ddd"),"")</f>
        <v/>
      </c>
      <c r="F136" t="str">
        <f t="shared" ref="F136:F199" si="13">IF(K136&lt;&gt;"",MONTH(K136),"")</f>
        <v/>
      </c>
      <c r="G136" t="str">
        <f t="shared" ref="G136:G199" si="14">IF(K136&lt;&gt;"",DAY(K136),"")</f>
        <v/>
      </c>
      <c r="H136" t="str">
        <f t="shared" ref="H136:H199" si="15">IF(K136&lt;&gt;"",YEAR(K136),"")</f>
        <v/>
      </c>
      <c r="K136" s="5"/>
      <c r="U136" s="5"/>
      <c r="AD136" s="5"/>
      <c r="AR136" s="5"/>
      <c r="BA136" s="35"/>
      <c r="BO136" s="5"/>
      <c r="BS136" s="5"/>
      <c r="BW136" s="5"/>
      <c r="CA136" s="5"/>
      <c r="CE136" s="5"/>
      <c r="CI136" s="5"/>
    </row>
    <row r="137" spans="4:87" x14ac:dyDescent="0.25">
      <c r="D137" s="7" t="str">
        <f t="shared" si="11"/>
        <v/>
      </c>
      <c r="E137" s="6" t="str">
        <f t="shared" si="12"/>
        <v/>
      </c>
      <c r="F137" t="str">
        <f t="shared" si="13"/>
        <v/>
      </c>
      <c r="G137" t="str">
        <f t="shared" si="14"/>
        <v/>
      </c>
      <c r="H137" t="str">
        <f t="shared" si="15"/>
        <v/>
      </c>
      <c r="K137" s="5"/>
      <c r="U137" s="5"/>
      <c r="AD137" s="5"/>
      <c r="AR137" s="5"/>
      <c r="BA137" s="35"/>
      <c r="BO137" s="5"/>
      <c r="BS137" s="5"/>
      <c r="BW137" s="5"/>
      <c r="CA137" s="5"/>
      <c r="CE137" s="5"/>
      <c r="CI137" s="5"/>
    </row>
    <row r="138" spans="4:87" x14ac:dyDescent="0.25">
      <c r="D138" s="7" t="str">
        <f t="shared" si="11"/>
        <v/>
      </c>
      <c r="E138" s="6" t="str">
        <f t="shared" si="12"/>
        <v/>
      </c>
      <c r="F138" t="str">
        <f t="shared" si="13"/>
        <v/>
      </c>
      <c r="G138" t="str">
        <f t="shared" si="14"/>
        <v/>
      </c>
      <c r="H138" t="str">
        <f t="shared" si="15"/>
        <v/>
      </c>
      <c r="K138" s="5"/>
      <c r="U138" s="5"/>
      <c r="AD138" s="5"/>
      <c r="AR138" s="5"/>
      <c r="BA138" s="35"/>
      <c r="BO138" s="5"/>
      <c r="BS138" s="5"/>
      <c r="BW138" s="5"/>
      <c r="CA138" s="5"/>
      <c r="CE138" s="5"/>
      <c r="CI138" s="5"/>
    </row>
    <row r="139" spans="4:87" x14ac:dyDescent="0.25">
      <c r="D139" s="7" t="str">
        <f t="shared" si="11"/>
        <v/>
      </c>
      <c r="E139" s="6" t="str">
        <f t="shared" si="12"/>
        <v/>
      </c>
      <c r="F139" t="str">
        <f t="shared" si="13"/>
        <v/>
      </c>
      <c r="G139" t="str">
        <f t="shared" si="14"/>
        <v/>
      </c>
      <c r="H139" t="str">
        <f t="shared" si="15"/>
        <v/>
      </c>
      <c r="K139" s="5"/>
      <c r="U139" s="5"/>
      <c r="AD139" s="5"/>
      <c r="AR139" s="5"/>
      <c r="BA139" s="35"/>
      <c r="BO139" s="5"/>
      <c r="BS139" s="5"/>
      <c r="BW139" s="5"/>
      <c r="CA139" s="5"/>
      <c r="CE139" s="5"/>
      <c r="CI139" s="5"/>
    </row>
    <row r="140" spans="4:87" x14ac:dyDescent="0.25">
      <c r="D140" s="7" t="str">
        <f t="shared" si="11"/>
        <v/>
      </c>
      <c r="E140" s="6" t="str">
        <f t="shared" si="12"/>
        <v/>
      </c>
      <c r="F140" t="str">
        <f t="shared" si="13"/>
        <v/>
      </c>
      <c r="G140" t="str">
        <f t="shared" si="14"/>
        <v/>
      </c>
      <c r="H140" t="str">
        <f t="shared" si="15"/>
        <v/>
      </c>
      <c r="K140" s="5"/>
      <c r="U140" s="5"/>
      <c r="AD140" s="5"/>
      <c r="AR140" s="5"/>
      <c r="BA140" s="35"/>
      <c r="BO140" s="5"/>
      <c r="BS140" s="5"/>
      <c r="BW140" s="5"/>
      <c r="CA140" s="5"/>
      <c r="CE140" s="5"/>
      <c r="CI140" s="5"/>
    </row>
    <row r="141" spans="4:87" x14ac:dyDescent="0.25">
      <c r="D141" s="7" t="str">
        <f t="shared" si="11"/>
        <v/>
      </c>
      <c r="E141" s="6" t="str">
        <f t="shared" si="12"/>
        <v/>
      </c>
      <c r="F141" t="str">
        <f t="shared" si="13"/>
        <v/>
      </c>
      <c r="G141" t="str">
        <f t="shared" si="14"/>
        <v/>
      </c>
      <c r="H141" t="str">
        <f t="shared" si="15"/>
        <v/>
      </c>
      <c r="K141" s="5"/>
      <c r="U141" s="5"/>
      <c r="AD141" s="5"/>
      <c r="AR141" s="5"/>
      <c r="BA141" s="35"/>
      <c r="BO141" s="5"/>
      <c r="BS141" s="5"/>
      <c r="BW141" s="5"/>
      <c r="CA141" s="5"/>
      <c r="CE141" s="5"/>
      <c r="CI141" s="5"/>
    </row>
    <row r="142" spans="4:87" x14ac:dyDescent="0.25">
      <c r="D142" s="7" t="str">
        <f t="shared" si="11"/>
        <v/>
      </c>
      <c r="E142" s="6" t="str">
        <f t="shared" si="12"/>
        <v/>
      </c>
      <c r="F142" t="str">
        <f t="shared" si="13"/>
        <v/>
      </c>
      <c r="G142" t="str">
        <f t="shared" si="14"/>
        <v/>
      </c>
      <c r="H142" t="str">
        <f t="shared" si="15"/>
        <v/>
      </c>
      <c r="K142" s="5"/>
      <c r="U142" s="5"/>
      <c r="AD142" s="5"/>
      <c r="AR142" s="5"/>
      <c r="BA142" s="35"/>
      <c r="BO142" s="5"/>
      <c r="BS142" s="5"/>
      <c r="BW142" s="5"/>
      <c r="CA142" s="5"/>
      <c r="CE142" s="5"/>
      <c r="CI142" s="5"/>
    </row>
    <row r="143" spans="4:87" x14ac:dyDescent="0.25">
      <c r="D143" s="7" t="str">
        <f t="shared" si="11"/>
        <v/>
      </c>
      <c r="E143" s="6" t="str">
        <f t="shared" si="12"/>
        <v/>
      </c>
      <c r="F143" t="str">
        <f t="shared" si="13"/>
        <v/>
      </c>
      <c r="G143" t="str">
        <f t="shared" si="14"/>
        <v/>
      </c>
      <c r="H143" t="str">
        <f t="shared" si="15"/>
        <v/>
      </c>
      <c r="K143" s="5"/>
      <c r="U143" s="5"/>
      <c r="AD143" s="5"/>
      <c r="AR143" s="5"/>
      <c r="BA143" s="35"/>
      <c r="BO143" s="5"/>
      <c r="BS143" s="5"/>
      <c r="BW143" s="5"/>
      <c r="CA143" s="5"/>
      <c r="CE143" s="5"/>
      <c r="CI143" s="5"/>
    </row>
    <row r="144" spans="4:87" x14ac:dyDescent="0.25">
      <c r="D144" s="7" t="str">
        <f t="shared" si="11"/>
        <v/>
      </c>
      <c r="E144" s="6" t="str">
        <f t="shared" si="12"/>
        <v/>
      </c>
      <c r="F144" t="str">
        <f t="shared" si="13"/>
        <v/>
      </c>
      <c r="G144" t="str">
        <f t="shared" si="14"/>
        <v/>
      </c>
      <c r="H144" t="str">
        <f t="shared" si="15"/>
        <v/>
      </c>
      <c r="K144" s="5"/>
      <c r="U144" s="5"/>
      <c r="AD144" s="5"/>
      <c r="AR144" s="5"/>
      <c r="BA144" s="35"/>
      <c r="BO144" s="5"/>
      <c r="BS144" s="5"/>
      <c r="BW144" s="5"/>
      <c r="CA144" s="5"/>
      <c r="CE144" s="5"/>
      <c r="CI144" s="5"/>
    </row>
    <row r="145" spans="4:87" x14ac:dyDescent="0.25">
      <c r="D145" s="7" t="str">
        <f t="shared" si="11"/>
        <v/>
      </c>
      <c r="E145" s="6" t="str">
        <f t="shared" si="12"/>
        <v/>
      </c>
      <c r="F145" t="str">
        <f t="shared" si="13"/>
        <v/>
      </c>
      <c r="G145" t="str">
        <f t="shared" si="14"/>
        <v/>
      </c>
      <c r="H145" t="str">
        <f t="shared" si="15"/>
        <v/>
      </c>
      <c r="K145" s="5"/>
      <c r="U145" s="5"/>
      <c r="AD145" s="5"/>
      <c r="AR145" s="5"/>
      <c r="BA145" s="35"/>
      <c r="BO145" s="5"/>
      <c r="BS145" s="5"/>
      <c r="BW145" s="5"/>
      <c r="CA145" s="5"/>
      <c r="CE145" s="5"/>
      <c r="CI145" s="5"/>
    </row>
    <row r="146" spans="4:87" x14ac:dyDescent="0.25">
      <c r="D146" s="7" t="str">
        <f t="shared" si="11"/>
        <v/>
      </c>
      <c r="E146" s="6" t="str">
        <f t="shared" si="12"/>
        <v/>
      </c>
      <c r="F146" t="str">
        <f t="shared" si="13"/>
        <v/>
      </c>
      <c r="G146" t="str">
        <f t="shared" si="14"/>
        <v/>
      </c>
      <c r="H146" t="str">
        <f t="shared" si="15"/>
        <v/>
      </c>
      <c r="K146" s="5"/>
      <c r="U146" s="5"/>
      <c r="AD146" s="5"/>
      <c r="AR146" s="5"/>
      <c r="BA146" s="35"/>
      <c r="BO146" s="5"/>
      <c r="BS146" s="5"/>
      <c r="BW146" s="5"/>
      <c r="CA146" s="5"/>
      <c r="CE146" s="5"/>
      <c r="CI146" s="5"/>
    </row>
    <row r="147" spans="4:87" x14ac:dyDescent="0.25">
      <c r="D147" s="7" t="str">
        <f t="shared" si="11"/>
        <v/>
      </c>
      <c r="E147" s="6" t="str">
        <f t="shared" si="12"/>
        <v/>
      </c>
      <c r="F147" t="str">
        <f t="shared" si="13"/>
        <v/>
      </c>
      <c r="G147" t="str">
        <f t="shared" si="14"/>
        <v/>
      </c>
      <c r="H147" t="str">
        <f t="shared" si="15"/>
        <v/>
      </c>
      <c r="K147" s="5"/>
      <c r="U147" s="5"/>
      <c r="AD147" s="5"/>
      <c r="AR147" s="5"/>
      <c r="BA147" s="35"/>
      <c r="BO147" s="5"/>
      <c r="BS147" s="5"/>
      <c r="BW147" s="5"/>
      <c r="CA147" s="5"/>
      <c r="CE147" s="5"/>
      <c r="CI147" s="5"/>
    </row>
    <row r="148" spans="4:87" x14ac:dyDescent="0.25">
      <c r="D148" s="7" t="str">
        <f t="shared" si="11"/>
        <v/>
      </c>
      <c r="E148" s="6" t="str">
        <f t="shared" si="12"/>
        <v/>
      </c>
      <c r="F148" t="str">
        <f t="shared" si="13"/>
        <v/>
      </c>
      <c r="G148" t="str">
        <f t="shared" si="14"/>
        <v/>
      </c>
      <c r="H148" t="str">
        <f t="shared" si="15"/>
        <v/>
      </c>
      <c r="K148" s="5"/>
      <c r="U148" s="5"/>
      <c r="AD148" s="5"/>
      <c r="AR148" s="5"/>
      <c r="BA148" s="35"/>
      <c r="BO148" s="5"/>
      <c r="BS148" s="5"/>
      <c r="BW148" s="5"/>
      <c r="CA148" s="5"/>
      <c r="CE148" s="5"/>
      <c r="CI148" s="5"/>
    </row>
    <row r="149" spans="4:87" x14ac:dyDescent="0.25">
      <c r="D149" s="7" t="str">
        <f t="shared" si="11"/>
        <v/>
      </c>
      <c r="E149" s="6" t="str">
        <f t="shared" si="12"/>
        <v/>
      </c>
      <c r="F149" t="str">
        <f t="shared" si="13"/>
        <v/>
      </c>
      <c r="G149" t="str">
        <f t="shared" si="14"/>
        <v/>
      </c>
      <c r="H149" t="str">
        <f t="shared" si="15"/>
        <v/>
      </c>
      <c r="K149" s="5"/>
      <c r="U149" s="5"/>
      <c r="AD149" s="5"/>
      <c r="AR149" s="5"/>
      <c r="BA149" s="35"/>
      <c r="BO149" s="5"/>
      <c r="BS149" s="5"/>
      <c r="BW149" s="5"/>
      <c r="CA149" s="5"/>
      <c r="CE149" s="5"/>
      <c r="CI149" s="5"/>
    </row>
    <row r="150" spans="4:87" x14ac:dyDescent="0.25">
      <c r="D150" s="7" t="str">
        <f t="shared" si="11"/>
        <v/>
      </c>
      <c r="E150" s="6" t="str">
        <f t="shared" si="12"/>
        <v/>
      </c>
      <c r="F150" t="str">
        <f t="shared" si="13"/>
        <v/>
      </c>
      <c r="G150" t="str">
        <f t="shared" si="14"/>
        <v/>
      </c>
      <c r="H150" t="str">
        <f t="shared" si="15"/>
        <v/>
      </c>
      <c r="K150" s="5"/>
      <c r="U150" s="5"/>
      <c r="AD150" s="5"/>
      <c r="AR150" s="5"/>
      <c r="BA150" s="35"/>
      <c r="BO150" s="5"/>
      <c r="BS150" s="5"/>
      <c r="BW150" s="5"/>
      <c r="CA150" s="5"/>
      <c r="CE150" s="5"/>
      <c r="CI150" s="5"/>
    </row>
    <row r="151" spans="4:87" x14ac:dyDescent="0.25">
      <c r="D151" s="7" t="str">
        <f t="shared" si="11"/>
        <v/>
      </c>
      <c r="E151" s="6" t="str">
        <f t="shared" si="12"/>
        <v/>
      </c>
      <c r="F151" t="str">
        <f t="shared" si="13"/>
        <v/>
      </c>
      <c r="G151" t="str">
        <f t="shared" si="14"/>
        <v/>
      </c>
      <c r="H151" t="str">
        <f t="shared" si="15"/>
        <v/>
      </c>
      <c r="K151" s="5"/>
      <c r="U151" s="5"/>
      <c r="AD151" s="5"/>
      <c r="AR151" s="5"/>
      <c r="BA151" s="35"/>
      <c r="BO151" s="5"/>
      <c r="BS151" s="5"/>
      <c r="BW151" s="5"/>
      <c r="CA151" s="5"/>
      <c r="CE151" s="5"/>
      <c r="CI151" s="5"/>
    </row>
    <row r="152" spans="4:87" x14ac:dyDescent="0.25">
      <c r="D152" s="7" t="str">
        <f t="shared" si="11"/>
        <v/>
      </c>
      <c r="E152" s="6" t="str">
        <f t="shared" si="12"/>
        <v/>
      </c>
      <c r="F152" t="str">
        <f t="shared" si="13"/>
        <v/>
      </c>
      <c r="G152" t="str">
        <f t="shared" si="14"/>
        <v/>
      </c>
      <c r="H152" t="str">
        <f t="shared" si="15"/>
        <v/>
      </c>
      <c r="K152" s="5"/>
      <c r="U152" s="5"/>
      <c r="AD152" s="5"/>
      <c r="AR152" s="5"/>
      <c r="BA152" s="35"/>
      <c r="BO152" s="5"/>
      <c r="BS152" s="5"/>
      <c r="BW152" s="5"/>
      <c r="CA152" s="5"/>
      <c r="CE152" s="5"/>
      <c r="CI152" s="5"/>
    </row>
    <row r="153" spans="4:87" x14ac:dyDescent="0.25">
      <c r="D153" s="7" t="str">
        <f t="shared" si="11"/>
        <v/>
      </c>
      <c r="E153" s="6" t="str">
        <f t="shared" si="12"/>
        <v/>
      </c>
      <c r="F153" t="str">
        <f t="shared" si="13"/>
        <v/>
      </c>
      <c r="G153" t="str">
        <f t="shared" si="14"/>
        <v/>
      </c>
      <c r="H153" t="str">
        <f t="shared" si="15"/>
        <v/>
      </c>
      <c r="K153" s="5"/>
      <c r="U153" s="5"/>
      <c r="AD153" s="5"/>
      <c r="AR153" s="5"/>
      <c r="BA153" s="35"/>
      <c r="BO153" s="5"/>
      <c r="BS153" s="5"/>
      <c r="BW153" s="5"/>
      <c r="CA153" s="5"/>
      <c r="CE153" s="5"/>
      <c r="CI153" s="5"/>
    </row>
    <row r="154" spans="4:87" x14ac:dyDescent="0.25">
      <c r="D154" s="7" t="str">
        <f t="shared" si="11"/>
        <v/>
      </c>
      <c r="E154" s="6" t="str">
        <f t="shared" si="12"/>
        <v/>
      </c>
      <c r="F154" t="str">
        <f t="shared" si="13"/>
        <v/>
      </c>
      <c r="G154" t="str">
        <f t="shared" si="14"/>
        <v/>
      </c>
      <c r="H154" t="str">
        <f t="shared" si="15"/>
        <v/>
      </c>
      <c r="K154" s="5"/>
      <c r="U154" s="5"/>
      <c r="AD154" s="5"/>
      <c r="AR154" s="5"/>
      <c r="BA154" s="35"/>
      <c r="BO154" s="5"/>
      <c r="BS154" s="5"/>
      <c r="BW154" s="5"/>
      <c r="CA154" s="5"/>
      <c r="CE154" s="5"/>
      <c r="CI154" s="5"/>
    </row>
    <row r="155" spans="4:87" x14ac:dyDescent="0.25">
      <c r="D155" s="7" t="str">
        <f t="shared" si="11"/>
        <v/>
      </c>
      <c r="E155" s="6" t="str">
        <f t="shared" si="12"/>
        <v/>
      </c>
      <c r="F155" t="str">
        <f t="shared" si="13"/>
        <v/>
      </c>
      <c r="G155" t="str">
        <f t="shared" si="14"/>
        <v/>
      </c>
      <c r="H155" t="str">
        <f t="shared" si="15"/>
        <v/>
      </c>
      <c r="K155" s="5"/>
      <c r="U155" s="5"/>
      <c r="AD155" s="5"/>
      <c r="AR155" s="5"/>
      <c r="BA155" s="35"/>
      <c r="BO155" s="5"/>
      <c r="BS155" s="5"/>
      <c r="BW155" s="5"/>
      <c r="CA155" s="5"/>
      <c r="CE155" s="5"/>
      <c r="CI155" s="5"/>
    </row>
    <row r="156" spans="4:87" x14ac:dyDescent="0.25">
      <c r="D156" s="7" t="str">
        <f t="shared" si="11"/>
        <v/>
      </c>
      <c r="E156" s="6" t="str">
        <f t="shared" si="12"/>
        <v/>
      </c>
      <c r="F156" t="str">
        <f t="shared" si="13"/>
        <v/>
      </c>
      <c r="G156" t="str">
        <f t="shared" si="14"/>
        <v/>
      </c>
      <c r="H156" t="str">
        <f t="shared" si="15"/>
        <v/>
      </c>
      <c r="K156" s="5"/>
      <c r="U156" s="5"/>
      <c r="AD156" s="5"/>
      <c r="AR156" s="5"/>
      <c r="BA156" s="35"/>
      <c r="BO156" s="5"/>
      <c r="BS156" s="5"/>
      <c r="BW156" s="5"/>
      <c r="CA156" s="5"/>
      <c r="CE156" s="5"/>
      <c r="CI156" s="5"/>
    </row>
    <row r="157" spans="4:87" x14ac:dyDescent="0.25">
      <c r="D157" s="7" t="str">
        <f t="shared" si="11"/>
        <v/>
      </c>
      <c r="E157" s="6" t="str">
        <f t="shared" si="12"/>
        <v/>
      </c>
      <c r="F157" t="str">
        <f t="shared" si="13"/>
        <v/>
      </c>
      <c r="G157" t="str">
        <f t="shared" si="14"/>
        <v/>
      </c>
      <c r="H157" t="str">
        <f t="shared" si="15"/>
        <v/>
      </c>
      <c r="K157" s="5"/>
      <c r="U157" s="5"/>
      <c r="AD157" s="5"/>
      <c r="AR157" s="5"/>
      <c r="BA157" s="35"/>
      <c r="BO157" s="5"/>
      <c r="BS157" s="5"/>
      <c r="BW157" s="5"/>
      <c r="CA157" s="5"/>
      <c r="CE157" s="5"/>
      <c r="CI157" s="5"/>
    </row>
    <row r="158" spans="4:87" x14ac:dyDescent="0.25">
      <c r="D158" s="7" t="str">
        <f t="shared" si="11"/>
        <v/>
      </c>
      <c r="E158" s="6" t="str">
        <f t="shared" si="12"/>
        <v/>
      </c>
      <c r="F158" t="str">
        <f t="shared" si="13"/>
        <v/>
      </c>
      <c r="G158" t="str">
        <f t="shared" si="14"/>
        <v/>
      </c>
      <c r="H158" t="str">
        <f t="shared" si="15"/>
        <v/>
      </c>
      <c r="K158" s="5"/>
      <c r="U158" s="5"/>
      <c r="AD158" s="5"/>
      <c r="AR158" s="5"/>
      <c r="BA158" s="35"/>
      <c r="BO158" s="5"/>
      <c r="BS158" s="5"/>
      <c r="BW158" s="5"/>
      <c r="CA158" s="5"/>
      <c r="CE158" s="5"/>
      <c r="CI158" s="5"/>
    </row>
    <row r="159" spans="4:87" x14ac:dyDescent="0.25">
      <c r="D159" s="7" t="str">
        <f t="shared" si="11"/>
        <v/>
      </c>
      <c r="E159" s="6" t="str">
        <f t="shared" si="12"/>
        <v/>
      </c>
      <c r="F159" t="str">
        <f t="shared" si="13"/>
        <v/>
      </c>
      <c r="G159" t="str">
        <f t="shared" si="14"/>
        <v/>
      </c>
      <c r="H159" t="str">
        <f t="shared" si="15"/>
        <v/>
      </c>
      <c r="K159" s="5"/>
      <c r="U159" s="5"/>
      <c r="AD159" s="5"/>
      <c r="AR159" s="5"/>
      <c r="BA159" s="35"/>
      <c r="BO159" s="5"/>
      <c r="BS159" s="5"/>
      <c r="BW159" s="5"/>
      <c r="CA159" s="5"/>
      <c r="CE159" s="5"/>
      <c r="CI159" s="5"/>
    </row>
    <row r="160" spans="4:87" x14ac:dyDescent="0.25">
      <c r="D160" s="7" t="str">
        <f t="shared" si="11"/>
        <v/>
      </c>
      <c r="E160" s="6" t="str">
        <f t="shared" si="12"/>
        <v/>
      </c>
      <c r="F160" t="str">
        <f t="shared" si="13"/>
        <v/>
      </c>
      <c r="G160" t="str">
        <f t="shared" si="14"/>
        <v/>
      </c>
      <c r="H160" t="str">
        <f t="shared" si="15"/>
        <v/>
      </c>
      <c r="K160" s="5"/>
      <c r="U160" s="5"/>
      <c r="AD160" s="5"/>
      <c r="AR160" s="5"/>
      <c r="BA160" s="35"/>
      <c r="BO160" s="5"/>
      <c r="BS160" s="5"/>
      <c r="BW160" s="5"/>
      <c r="CA160" s="5"/>
      <c r="CE160" s="5"/>
      <c r="CI160" s="5"/>
    </row>
    <row r="161" spans="4:87" x14ac:dyDescent="0.25">
      <c r="D161" s="7" t="str">
        <f t="shared" si="11"/>
        <v/>
      </c>
      <c r="E161" s="6" t="str">
        <f t="shared" si="12"/>
        <v/>
      </c>
      <c r="F161" t="str">
        <f t="shared" si="13"/>
        <v/>
      </c>
      <c r="G161" t="str">
        <f t="shared" si="14"/>
        <v/>
      </c>
      <c r="H161" t="str">
        <f t="shared" si="15"/>
        <v/>
      </c>
      <c r="K161" s="5"/>
      <c r="U161" s="5"/>
      <c r="AD161" s="5"/>
      <c r="AR161" s="5"/>
      <c r="BA161" s="35"/>
      <c r="BO161" s="5"/>
      <c r="BS161" s="5"/>
      <c r="BW161" s="5"/>
      <c r="CA161" s="5"/>
      <c r="CE161" s="5"/>
      <c r="CI161" s="5"/>
    </row>
    <row r="162" spans="4:87" x14ac:dyDescent="0.25">
      <c r="D162" s="7" t="str">
        <f t="shared" si="11"/>
        <v/>
      </c>
      <c r="E162" s="6" t="str">
        <f t="shared" si="12"/>
        <v/>
      </c>
      <c r="F162" t="str">
        <f t="shared" si="13"/>
        <v/>
      </c>
      <c r="G162" t="str">
        <f t="shared" si="14"/>
        <v/>
      </c>
      <c r="H162" t="str">
        <f t="shared" si="15"/>
        <v/>
      </c>
      <c r="K162" s="5"/>
      <c r="U162" s="5"/>
      <c r="AD162" s="5"/>
      <c r="AR162" s="5"/>
      <c r="BA162" s="35"/>
      <c r="BO162" s="5"/>
      <c r="BS162" s="5"/>
      <c r="BW162" s="5"/>
      <c r="CA162" s="5"/>
      <c r="CE162" s="5"/>
      <c r="CI162" s="5"/>
    </row>
    <row r="163" spans="4:87" x14ac:dyDescent="0.25">
      <c r="D163" s="7" t="str">
        <f t="shared" si="11"/>
        <v/>
      </c>
      <c r="E163" s="6" t="str">
        <f t="shared" si="12"/>
        <v/>
      </c>
      <c r="F163" t="str">
        <f t="shared" si="13"/>
        <v/>
      </c>
      <c r="G163" t="str">
        <f t="shared" si="14"/>
        <v/>
      </c>
      <c r="H163" t="str">
        <f t="shared" si="15"/>
        <v/>
      </c>
      <c r="K163" s="5"/>
      <c r="U163" s="5"/>
      <c r="AD163" s="5"/>
      <c r="AR163" s="5"/>
      <c r="BA163" s="35"/>
      <c r="BO163" s="5"/>
      <c r="BS163" s="5"/>
      <c r="BW163" s="5"/>
      <c r="CA163" s="5"/>
      <c r="CE163" s="5"/>
      <c r="CI163" s="5"/>
    </row>
    <row r="164" spans="4:87" x14ac:dyDescent="0.25">
      <c r="D164" s="7" t="str">
        <f t="shared" si="11"/>
        <v/>
      </c>
      <c r="E164" s="6" t="str">
        <f t="shared" si="12"/>
        <v/>
      </c>
      <c r="F164" t="str">
        <f t="shared" si="13"/>
        <v/>
      </c>
      <c r="G164" t="str">
        <f t="shared" si="14"/>
        <v/>
      </c>
      <c r="H164" t="str">
        <f t="shared" si="15"/>
        <v/>
      </c>
      <c r="K164" s="5"/>
      <c r="U164" s="5"/>
      <c r="AD164" s="5"/>
      <c r="AR164" s="5"/>
      <c r="BA164" s="35"/>
      <c r="BO164" s="5"/>
      <c r="BS164" s="5"/>
      <c r="BW164" s="5"/>
      <c r="CA164" s="5"/>
      <c r="CE164" s="5"/>
      <c r="CI164" s="5"/>
    </row>
    <row r="165" spans="4:87" x14ac:dyDescent="0.25">
      <c r="D165" s="7" t="str">
        <f t="shared" si="11"/>
        <v/>
      </c>
      <c r="E165" s="6" t="str">
        <f t="shared" si="12"/>
        <v/>
      </c>
      <c r="F165" t="str">
        <f t="shared" si="13"/>
        <v/>
      </c>
      <c r="G165" t="str">
        <f t="shared" si="14"/>
        <v/>
      </c>
      <c r="H165" t="str">
        <f t="shared" si="15"/>
        <v/>
      </c>
      <c r="K165" s="5"/>
      <c r="U165" s="5"/>
      <c r="AD165" s="5"/>
      <c r="AR165" s="5"/>
      <c r="BA165" s="35"/>
      <c r="BO165" s="5"/>
      <c r="BS165" s="5"/>
      <c r="BW165" s="5"/>
      <c r="CA165" s="5"/>
      <c r="CE165" s="5"/>
      <c r="CI165" s="5"/>
    </row>
    <row r="166" spans="4:87" x14ac:dyDescent="0.25">
      <c r="D166" s="7" t="str">
        <f t="shared" si="11"/>
        <v/>
      </c>
      <c r="E166" s="6" t="str">
        <f t="shared" si="12"/>
        <v/>
      </c>
      <c r="F166" t="str">
        <f t="shared" si="13"/>
        <v/>
      </c>
      <c r="G166" t="str">
        <f t="shared" si="14"/>
        <v/>
      </c>
      <c r="H166" t="str">
        <f t="shared" si="15"/>
        <v/>
      </c>
      <c r="K166" s="5"/>
      <c r="U166" s="5"/>
      <c r="AD166" s="5"/>
      <c r="AR166" s="5"/>
      <c r="BA166" s="35"/>
      <c r="BO166" s="5"/>
      <c r="BS166" s="5"/>
      <c r="BW166" s="5"/>
      <c r="CA166" s="5"/>
      <c r="CE166" s="5"/>
      <c r="CI166" s="5"/>
    </row>
    <row r="167" spans="4:87" x14ac:dyDescent="0.25">
      <c r="D167" s="7" t="str">
        <f t="shared" si="11"/>
        <v/>
      </c>
      <c r="E167" s="6" t="str">
        <f t="shared" si="12"/>
        <v/>
      </c>
      <c r="F167" t="str">
        <f t="shared" si="13"/>
        <v/>
      </c>
      <c r="G167" t="str">
        <f t="shared" si="14"/>
        <v/>
      </c>
      <c r="H167" t="str">
        <f t="shared" si="15"/>
        <v/>
      </c>
      <c r="K167" s="5"/>
      <c r="U167" s="5"/>
      <c r="AD167" s="5"/>
      <c r="AR167" s="5"/>
      <c r="BA167" s="35"/>
      <c r="BO167" s="5"/>
      <c r="BS167" s="5"/>
      <c r="BW167" s="5"/>
      <c r="CA167" s="5"/>
      <c r="CE167" s="5"/>
      <c r="CI167" s="5"/>
    </row>
    <row r="168" spans="4:87" x14ac:dyDescent="0.25">
      <c r="D168" s="7" t="str">
        <f t="shared" si="11"/>
        <v/>
      </c>
      <c r="E168" s="6" t="str">
        <f t="shared" si="12"/>
        <v/>
      </c>
      <c r="F168" t="str">
        <f t="shared" si="13"/>
        <v/>
      </c>
      <c r="G168" t="str">
        <f t="shared" si="14"/>
        <v/>
      </c>
      <c r="H168" t="str">
        <f t="shared" si="15"/>
        <v/>
      </c>
      <c r="K168" s="5"/>
      <c r="U168" s="5"/>
      <c r="AD168" s="5"/>
      <c r="AR168" s="5"/>
      <c r="BA168" s="35"/>
      <c r="BO168" s="5"/>
      <c r="BS168" s="5"/>
      <c r="BW168" s="5"/>
      <c r="CA168" s="5"/>
      <c r="CE168" s="5"/>
      <c r="CI168" s="5"/>
    </row>
    <row r="169" spans="4:87" x14ac:dyDescent="0.25">
      <c r="D169" s="7" t="str">
        <f t="shared" si="11"/>
        <v/>
      </c>
      <c r="E169" s="6" t="str">
        <f t="shared" si="12"/>
        <v/>
      </c>
      <c r="F169" t="str">
        <f t="shared" si="13"/>
        <v/>
      </c>
      <c r="G169" t="str">
        <f t="shared" si="14"/>
        <v/>
      </c>
      <c r="H169" t="str">
        <f t="shared" si="15"/>
        <v/>
      </c>
      <c r="K169" s="5"/>
      <c r="U169" s="5"/>
      <c r="AD169" s="5"/>
      <c r="AR169" s="5"/>
      <c r="BA169" s="35"/>
      <c r="BO169" s="5"/>
      <c r="BS169" s="5"/>
      <c r="BW169" s="5"/>
      <c r="CA169" s="5"/>
      <c r="CE169" s="5"/>
      <c r="CI169" s="5"/>
    </row>
    <row r="170" spans="4:87" x14ac:dyDescent="0.25">
      <c r="D170" s="7" t="str">
        <f t="shared" si="11"/>
        <v/>
      </c>
      <c r="E170" s="6" t="str">
        <f t="shared" si="12"/>
        <v/>
      </c>
      <c r="F170" t="str">
        <f t="shared" si="13"/>
        <v/>
      </c>
      <c r="G170" t="str">
        <f t="shared" si="14"/>
        <v/>
      </c>
      <c r="H170" t="str">
        <f t="shared" si="15"/>
        <v/>
      </c>
      <c r="K170" s="5"/>
      <c r="U170" s="5"/>
      <c r="AD170" s="5"/>
      <c r="AR170" s="5"/>
      <c r="BA170" s="35"/>
      <c r="BO170" s="5"/>
      <c r="BS170" s="5"/>
      <c r="BW170" s="5"/>
      <c r="CA170" s="5"/>
      <c r="CE170" s="5"/>
      <c r="CI170" s="5"/>
    </row>
    <row r="171" spans="4:87" x14ac:dyDescent="0.25">
      <c r="D171" s="7" t="str">
        <f t="shared" si="11"/>
        <v/>
      </c>
      <c r="E171" s="6" t="str">
        <f t="shared" si="12"/>
        <v/>
      </c>
      <c r="F171" t="str">
        <f t="shared" si="13"/>
        <v/>
      </c>
      <c r="G171" t="str">
        <f t="shared" si="14"/>
        <v/>
      </c>
      <c r="H171" t="str">
        <f t="shared" si="15"/>
        <v/>
      </c>
      <c r="K171" s="5"/>
      <c r="U171" s="5"/>
      <c r="AD171" s="5"/>
      <c r="AR171" s="5"/>
      <c r="BA171" s="35"/>
      <c r="BO171" s="5"/>
      <c r="BS171" s="5"/>
      <c r="BW171" s="5"/>
      <c r="CA171" s="5"/>
      <c r="CE171" s="5"/>
      <c r="CI171" s="5"/>
    </row>
    <row r="172" spans="4:87" x14ac:dyDescent="0.25">
      <c r="D172" s="7" t="str">
        <f t="shared" si="11"/>
        <v/>
      </c>
      <c r="E172" s="6" t="str">
        <f t="shared" si="12"/>
        <v/>
      </c>
      <c r="F172" t="str">
        <f t="shared" si="13"/>
        <v/>
      </c>
      <c r="G172" t="str">
        <f t="shared" si="14"/>
        <v/>
      </c>
      <c r="H172" t="str">
        <f t="shared" si="15"/>
        <v/>
      </c>
      <c r="K172" s="5"/>
      <c r="U172" s="5"/>
      <c r="AD172" s="5"/>
      <c r="AR172" s="5"/>
      <c r="BA172" s="35"/>
      <c r="BO172" s="5"/>
      <c r="BS172" s="5"/>
      <c r="BW172" s="5"/>
      <c r="CA172" s="5"/>
      <c r="CE172" s="5"/>
      <c r="CI172" s="5"/>
    </row>
    <row r="173" spans="4:87" x14ac:dyDescent="0.25">
      <c r="D173" s="7" t="str">
        <f t="shared" si="11"/>
        <v/>
      </c>
      <c r="E173" s="6" t="str">
        <f t="shared" si="12"/>
        <v/>
      </c>
      <c r="F173" t="str">
        <f t="shared" si="13"/>
        <v/>
      </c>
      <c r="G173" t="str">
        <f t="shared" si="14"/>
        <v/>
      </c>
      <c r="H173" t="str">
        <f t="shared" si="15"/>
        <v/>
      </c>
      <c r="K173" s="5"/>
      <c r="U173" s="5"/>
      <c r="AD173" s="5"/>
      <c r="AR173" s="5"/>
      <c r="BA173" s="35"/>
      <c r="BO173" s="5"/>
      <c r="BS173" s="5"/>
      <c r="BW173" s="5"/>
      <c r="CA173" s="5"/>
      <c r="CE173" s="5"/>
      <c r="CI173" s="5"/>
    </row>
    <row r="174" spans="4:87" x14ac:dyDescent="0.25">
      <c r="D174" s="7" t="str">
        <f t="shared" si="11"/>
        <v/>
      </c>
      <c r="E174" s="6" t="str">
        <f t="shared" si="12"/>
        <v/>
      </c>
      <c r="F174" t="str">
        <f t="shared" si="13"/>
        <v/>
      </c>
      <c r="G174" t="str">
        <f t="shared" si="14"/>
        <v/>
      </c>
      <c r="H174" t="str">
        <f t="shared" si="15"/>
        <v/>
      </c>
      <c r="K174" s="5"/>
      <c r="U174" s="5"/>
      <c r="AD174" s="5"/>
      <c r="AR174" s="5"/>
      <c r="BA174" s="35"/>
      <c r="BO174" s="5"/>
      <c r="BS174" s="5"/>
      <c r="BW174" s="5"/>
      <c r="CA174" s="5"/>
      <c r="CE174" s="5"/>
      <c r="CI174" s="5"/>
    </row>
    <row r="175" spans="4:87" x14ac:dyDescent="0.25">
      <c r="D175" s="7" t="str">
        <f t="shared" si="11"/>
        <v/>
      </c>
      <c r="E175" s="6" t="str">
        <f t="shared" si="12"/>
        <v/>
      </c>
      <c r="F175" t="str">
        <f t="shared" si="13"/>
        <v/>
      </c>
      <c r="G175" t="str">
        <f t="shared" si="14"/>
        <v/>
      </c>
      <c r="H175" t="str">
        <f t="shared" si="15"/>
        <v/>
      </c>
      <c r="K175" s="5"/>
      <c r="U175" s="5"/>
      <c r="AD175" s="5"/>
      <c r="AR175" s="5"/>
      <c r="BA175" s="35"/>
      <c r="BO175" s="5"/>
      <c r="BS175" s="5"/>
      <c r="BW175" s="5"/>
      <c r="CA175" s="5"/>
      <c r="CE175" s="5"/>
      <c r="CI175" s="5"/>
    </row>
    <row r="176" spans="4:87" x14ac:dyDescent="0.25">
      <c r="D176" s="7" t="str">
        <f t="shared" si="11"/>
        <v/>
      </c>
      <c r="E176" s="6" t="str">
        <f t="shared" si="12"/>
        <v/>
      </c>
      <c r="F176" t="str">
        <f t="shared" si="13"/>
        <v/>
      </c>
      <c r="G176" t="str">
        <f t="shared" si="14"/>
        <v/>
      </c>
      <c r="H176" t="str">
        <f t="shared" si="15"/>
        <v/>
      </c>
      <c r="K176" s="5"/>
      <c r="U176" s="5"/>
      <c r="AD176" s="5"/>
      <c r="AR176" s="5"/>
      <c r="BA176" s="35"/>
      <c r="BO176" s="5"/>
      <c r="BS176" s="5"/>
      <c r="BW176" s="5"/>
      <c r="CA176" s="5"/>
      <c r="CE176" s="5"/>
      <c r="CI176" s="5"/>
    </row>
    <row r="177" spans="4:87" x14ac:dyDescent="0.25">
      <c r="D177" s="7" t="str">
        <f t="shared" si="11"/>
        <v/>
      </c>
      <c r="E177" s="6" t="str">
        <f t="shared" si="12"/>
        <v/>
      </c>
      <c r="F177" t="str">
        <f t="shared" si="13"/>
        <v/>
      </c>
      <c r="G177" t="str">
        <f t="shared" si="14"/>
        <v/>
      </c>
      <c r="H177" t="str">
        <f t="shared" si="15"/>
        <v/>
      </c>
      <c r="K177" s="5"/>
      <c r="U177" s="5"/>
      <c r="AD177" s="5"/>
      <c r="AR177" s="5"/>
      <c r="BA177" s="35"/>
      <c r="BO177" s="5"/>
      <c r="BS177" s="5"/>
      <c r="BW177" s="5"/>
      <c r="CA177" s="5"/>
      <c r="CE177" s="5"/>
      <c r="CI177" s="5"/>
    </row>
    <row r="178" spans="4:87" x14ac:dyDescent="0.25">
      <c r="D178" s="7" t="str">
        <f t="shared" si="11"/>
        <v/>
      </c>
      <c r="E178" s="6" t="str">
        <f t="shared" si="12"/>
        <v/>
      </c>
      <c r="F178" t="str">
        <f t="shared" si="13"/>
        <v/>
      </c>
      <c r="G178" t="str">
        <f t="shared" si="14"/>
        <v/>
      </c>
      <c r="H178" t="str">
        <f t="shared" si="15"/>
        <v/>
      </c>
      <c r="K178" s="5"/>
      <c r="U178" s="5"/>
      <c r="AD178" s="5"/>
      <c r="AR178" s="5"/>
      <c r="BA178" s="35"/>
      <c r="BO178" s="5"/>
      <c r="BS178" s="5"/>
      <c r="BW178" s="5"/>
      <c r="CA178" s="5"/>
      <c r="CE178" s="5"/>
      <c r="CI178" s="5"/>
    </row>
    <row r="179" spans="4:87" x14ac:dyDescent="0.25">
      <c r="D179" s="7" t="str">
        <f t="shared" si="11"/>
        <v/>
      </c>
      <c r="E179" s="6" t="str">
        <f t="shared" si="12"/>
        <v/>
      </c>
      <c r="F179" t="str">
        <f t="shared" si="13"/>
        <v/>
      </c>
      <c r="G179" t="str">
        <f t="shared" si="14"/>
        <v/>
      </c>
      <c r="H179" t="str">
        <f t="shared" si="15"/>
        <v/>
      </c>
      <c r="K179" s="5"/>
      <c r="U179" s="5"/>
      <c r="AD179" s="5"/>
      <c r="AR179" s="5"/>
      <c r="BA179" s="35"/>
      <c r="BO179" s="5"/>
      <c r="BS179" s="5"/>
      <c r="BW179" s="5"/>
      <c r="CA179" s="5"/>
      <c r="CE179" s="5"/>
      <c r="CI179" s="5"/>
    </row>
    <row r="180" spans="4:87" x14ac:dyDescent="0.25">
      <c r="D180" s="7" t="str">
        <f t="shared" si="11"/>
        <v/>
      </c>
      <c r="E180" s="6" t="str">
        <f t="shared" si="12"/>
        <v/>
      </c>
      <c r="F180" t="str">
        <f t="shared" si="13"/>
        <v/>
      </c>
      <c r="G180" t="str">
        <f t="shared" si="14"/>
        <v/>
      </c>
      <c r="H180" t="str">
        <f t="shared" si="15"/>
        <v/>
      </c>
      <c r="K180" s="5"/>
      <c r="U180" s="5"/>
      <c r="AD180" s="5"/>
      <c r="AR180" s="5"/>
      <c r="BA180" s="35"/>
      <c r="BO180" s="5"/>
      <c r="BS180" s="5"/>
      <c r="BW180" s="5"/>
      <c r="CA180" s="5"/>
      <c r="CE180" s="5"/>
      <c r="CI180" s="5"/>
    </row>
    <row r="181" spans="4:87" x14ac:dyDescent="0.25">
      <c r="D181" s="7" t="str">
        <f t="shared" si="11"/>
        <v/>
      </c>
      <c r="E181" s="6" t="str">
        <f t="shared" si="12"/>
        <v/>
      </c>
      <c r="F181" t="str">
        <f t="shared" si="13"/>
        <v/>
      </c>
      <c r="G181" t="str">
        <f t="shared" si="14"/>
        <v/>
      </c>
      <c r="H181" t="str">
        <f t="shared" si="15"/>
        <v/>
      </c>
      <c r="K181" s="5"/>
      <c r="U181" s="5"/>
      <c r="AD181" s="5"/>
      <c r="AR181" s="5"/>
      <c r="BA181" s="35"/>
      <c r="BO181" s="5"/>
      <c r="BS181" s="5"/>
      <c r="BW181" s="5"/>
      <c r="CA181" s="5"/>
      <c r="CE181" s="5"/>
      <c r="CI181" s="5"/>
    </row>
    <row r="182" spans="4:87" x14ac:dyDescent="0.25">
      <c r="D182" s="7" t="str">
        <f t="shared" si="11"/>
        <v/>
      </c>
      <c r="E182" s="6" t="str">
        <f t="shared" si="12"/>
        <v/>
      </c>
      <c r="F182" t="str">
        <f t="shared" si="13"/>
        <v/>
      </c>
      <c r="G182" t="str">
        <f t="shared" si="14"/>
        <v/>
      </c>
      <c r="H182" t="str">
        <f t="shared" si="15"/>
        <v/>
      </c>
      <c r="K182" s="5"/>
      <c r="U182" s="5"/>
      <c r="AD182" s="5"/>
      <c r="AR182" s="5"/>
      <c r="BA182" s="35"/>
      <c r="BO182" s="5"/>
      <c r="BS182" s="5"/>
      <c r="BW182" s="5"/>
      <c r="CA182" s="5"/>
      <c r="CE182" s="5"/>
      <c r="CI182" s="5"/>
    </row>
    <row r="183" spans="4:87" x14ac:dyDescent="0.25">
      <c r="D183" s="7" t="str">
        <f t="shared" si="11"/>
        <v/>
      </c>
      <c r="E183" s="6" t="str">
        <f t="shared" si="12"/>
        <v/>
      </c>
      <c r="F183" t="str">
        <f t="shared" si="13"/>
        <v/>
      </c>
      <c r="G183" t="str">
        <f t="shared" si="14"/>
        <v/>
      </c>
      <c r="H183" t="str">
        <f t="shared" si="15"/>
        <v/>
      </c>
      <c r="K183" s="5"/>
      <c r="U183" s="5"/>
      <c r="AD183" s="5"/>
      <c r="AR183" s="5"/>
      <c r="BA183" s="35"/>
      <c r="BO183" s="5"/>
      <c r="BS183" s="5"/>
      <c r="BW183" s="5"/>
      <c r="CA183" s="5"/>
      <c r="CE183" s="5"/>
      <c r="CI183" s="5"/>
    </row>
    <row r="184" spans="4:87" x14ac:dyDescent="0.25">
      <c r="D184" s="7" t="str">
        <f t="shared" si="11"/>
        <v/>
      </c>
      <c r="E184" s="6" t="str">
        <f t="shared" si="12"/>
        <v/>
      </c>
      <c r="F184" t="str">
        <f t="shared" si="13"/>
        <v/>
      </c>
      <c r="G184" t="str">
        <f t="shared" si="14"/>
        <v/>
      </c>
      <c r="H184" t="str">
        <f t="shared" si="15"/>
        <v/>
      </c>
      <c r="K184" s="5"/>
      <c r="U184" s="5"/>
      <c r="AD184" s="5"/>
      <c r="AR184" s="5"/>
      <c r="BA184" s="35"/>
      <c r="BO184" s="5"/>
      <c r="BS184" s="5"/>
      <c r="BW184" s="5"/>
      <c r="CA184" s="5"/>
      <c r="CE184" s="5"/>
      <c r="CI184" s="5"/>
    </row>
    <row r="185" spans="4:87" x14ac:dyDescent="0.25">
      <c r="D185" s="7" t="str">
        <f t="shared" si="11"/>
        <v/>
      </c>
      <c r="E185" s="6" t="str">
        <f t="shared" si="12"/>
        <v/>
      </c>
      <c r="F185" t="str">
        <f t="shared" si="13"/>
        <v/>
      </c>
      <c r="G185" t="str">
        <f t="shared" si="14"/>
        <v/>
      </c>
      <c r="H185" t="str">
        <f t="shared" si="15"/>
        <v/>
      </c>
      <c r="K185" s="5"/>
      <c r="U185" s="5"/>
      <c r="AD185" s="5"/>
      <c r="AR185" s="5"/>
      <c r="BA185" s="35"/>
      <c r="BO185" s="5"/>
      <c r="BS185" s="5"/>
      <c r="BW185" s="5"/>
      <c r="CA185" s="5"/>
      <c r="CE185" s="5"/>
      <c r="CI185" s="5"/>
    </row>
    <row r="186" spans="4:87" x14ac:dyDescent="0.25">
      <c r="D186" s="7" t="str">
        <f t="shared" si="11"/>
        <v/>
      </c>
      <c r="E186" s="6" t="str">
        <f t="shared" si="12"/>
        <v/>
      </c>
      <c r="F186" t="str">
        <f t="shared" si="13"/>
        <v/>
      </c>
      <c r="G186" t="str">
        <f t="shared" si="14"/>
        <v/>
      </c>
      <c r="H186" t="str">
        <f t="shared" si="15"/>
        <v/>
      </c>
      <c r="K186" s="5"/>
      <c r="U186" s="5"/>
      <c r="AD186" s="5"/>
      <c r="AR186" s="5"/>
      <c r="BA186" s="35"/>
      <c r="BO186" s="5"/>
      <c r="BS186" s="5"/>
      <c r="BW186" s="5"/>
      <c r="CA186" s="5"/>
      <c r="CE186" s="5"/>
      <c r="CI186" s="5"/>
    </row>
    <row r="187" spans="4:87" x14ac:dyDescent="0.25">
      <c r="D187" s="7" t="str">
        <f t="shared" si="11"/>
        <v/>
      </c>
      <c r="E187" s="6" t="str">
        <f t="shared" si="12"/>
        <v/>
      </c>
      <c r="F187" t="str">
        <f t="shared" si="13"/>
        <v/>
      </c>
      <c r="G187" t="str">
        <f t="shared" si="14"/>
        <v/>
      </c>
      <c r="H187" t="str">
        <f t="shared" si="15"/>
        <v/>
      </c>
      <c r="K187" s="5"/>
      <c r="U187" s="5"/>
      <c r="AD187" s="5"/>
      <c r="AR187" s="5"/>
      <c r="BA187" s="35"/>
      <c r="BO187" s="5"/>
      <c r="BS187" s="5"/>
      <c r="BW187" s="5"/>
      <c r="CA187" s="5"/>
      <c r="CE187" s="5"/>
      <c r="CI187" s="5"/>
    </row>
    <row r="188" spans="4:87" x14ac:dyDescent="0.25">
      <c r="D188" s="7" t="str">
        <f t="shared" si="11"/>
        <v/>
      </c>
      <c r="E188" s="6" t="str">
        <f t="shared" si="12"/>
        <v/>
      </c>
      <c r="F188" t="str">
        <f t="shared" si="13"/>
        <v/>
      </c>
      <c r="G188" t="str">
        <f t="shared" si="14"/>
        <v/>
      </c>
      <c r="H188" t="str">
        <f t="shared" si="15"/>
        <v/>
      </c>
      <c r="K188" s="5"/>
      <c r="U188" s="5"/>
      <c r="AD188" s="5"/>
      <c r="AR188" s="5"/>
      <c r="BA188" s="35"/>
      <c r="BO188" s="5"/>
      <c r="BS188" s="5"/>
      <c r="BW188" s="5"/>
      <c r="CA188" s="5"/>
      <c r="CE188" s="5"/>
      <c r="CI188" s="5"/>
    </row>
    <row r="189" spans="4:87" x14ac:dyDescent="0.25">
      <c r="D189" s="7" t="str">
        <f t="shared" si="11"/>
        <v/>
      </c>
      <c r="E189" s="6" t="str">
        <f t="shared" si="12"/>
        <v/>
      </c>
      <c r="F189" t="str">
        <f t="shared" si="13"/>
        <v/>
      </c>
      <c r="G189" t="str">
        <f t="shared" si="14"/>
        <v/>
      </c>
      <c r="H189" t="str">
        <f t="shared" si="15"/>
        <v/>
      </c>
      <c r="K189" s="5"/>
      <c r="U189" s="5"/>
      <c r="AD189" s="5"/>
      <c r="AR189" s="5"/>
      <c r="BA189" s="35"/>
      <c r="BO189" s="5"/>
      <c r="BS189" s="5"/>
      <c r="BW189" s="5"/>
      <c r="CA189" s="5"/>
      <c r="CE189" s="5"/>
      <c r="CI189" s="5"/>
    </row>
    <row r="190" spans="4:87" x14ac:dyDescent="0.25">
      <c r="D190" s="7" t="str">
        <f t="shared" si="11"/>
        <v/>
      </c>
      <c r="E190" s="6" t="str">
        <f t="shared" si="12"/>
        <v/>
      </c>
      <c r="F190" t="str">
        <f t="shared" si="13"/>
        <v/>
      </c>
      <c r="G190" t="str">
        <f t="shared" si="14"/>
        <v/>
      </c>
      <c r="H190" t="str">
        <f t="shared" si="15"/>
        <v/>
      </c>
      <c r="K190" s="5"/>
      <c r="U190" s="5"/>
      <c r="AD190" s="5"/>
      <c r="AR190" s="5"/>
      <c r="BA190" s="35"/>
      <c r="BO190" s="5"/>
      <c r="BS190" s="5"/>
      <c r="BW190" s="5"/>
      <c r="CA190" s="5"/>
      <c r="CE190" s="5"/>
      <c r="CI190" s="5"/>
    </row>
    <row r="191" spans="4:87" x14ac:dyDescent="0.25">
      <c r="D191" s="7" t="str">
        <f t="shared" si="11"/>
        <v/>
      </c>
      <c r="E191" s="6" t="str">
        <f t="shared" si="12"/>
        <v/>
      </c>
      <c r="F191" t="str">
        <f t="shared" si="13"/>
        <v/>
      </c>
      <c r="G191" t="str">
        <f t="shared" si="14"/>
        <v/>
      </c>
      <c r="H191" t="str">
        <f t="shared" si="15"/>
        <v/>
      </c>
      <c r="K191" s="5"/>
      <c r="U191" s="5"/>
      <c r="AD191" s="5"/>
      <c r="AR191" s="5"/>
      <c r="BA191" s="35"/>
      <c r="BO191" s="5"/>
      <c r="BS191" s="5"/>
      <c r="BW191" s="5"/>
      <c r="CA191" s="5"/>
      <c r="CE191" s="5"/>
      <c r="CI191" s="5"/>
    </row>
    <row r="192" spans="4:87" x14ac:dyDescent="0.25">
      <c r="D192" s="7" t="str">
        <f t="shared" si="11"/>
        <v/>
      </c>
      <c r="E192" s="6" t="str">
        <f t="shared" si="12"/>
        <v/>
      </c>
      <c r="F192" t="str">
        <f t="shared" si="13"/>
        <v/>
      </c>
      <c r="G192" t="str">
        <f t="shared" si="14"/>
        <v/>
      </c>
      <c r="H192" t="str">
        <f t="shared" si="15"/>
        <v/>
      </c>
      <c r="K192" s="5"/>
      <c r="U192" s="5"/>
      <c r="AD192" s="5"/>
      <c r="AR192" s="5"/>
      <c r="BA192" s="35"/>
      <c r="BO192" s="5"/>
      <c r="BS192" s="5"/>
      <c r="BW192" s="5"/>
      <c r="CA192" s="5"/>
      <c r="CE192" s="5"/>
      <c r="CI192" s="5"/>
    </row>
    <row r="193" spans="4:87" x14ac:dyDescent="0.25">
      <c r="D193" s="7" t="str">
        <f t="shared" si="11"/>
        <v/>
      </c>
      <c r="E193" s="6" t="str">
        <f t="shared" si="12"/>
        <v/>
      </c>
      <c r="F193" t="str">
        <f t="shared" si="13"/>
        <v/>
      </c>
      <c r="G193" t="str">
        <f t="shared" si="14"/>
        <v/>
      </c>
      <c r="H193" t="str">
        <f t="shared" si="15"/>
        <v/>
      </c>
      <c r="K193" s="5"/>
      <c r="U193" s="5"/>
      <c r="AD193" s="5"/>
      <c r="AR193" s="5"/>
      <c r="BA193" s="35"/>
      <c r="BO193" s="5"/>
      <c r="BS193" s="5"/>
      <c r="BW193" s="5"/>
      <c r="CA193" s="5"/>
      <c r="CE193" s="5"/>
      <c r="CI193" s="5"/>
    </row>
    <row r="194" spans="4:87" x14ac:dyDescent="0.25">
      <c r="D194" s="7" t="str">
        <f t="shared" si="11"/>
        <v/>
      </c>
      <c r="E194" s="6" t="str">
        <f t="shared" si="12"/>
        <v/>
      </c>
      <c r="F194" t="str">
        <f t="shared" si="13"/>
        <v/>
      </c>
      <c r="G194" t="str">
        <f t="shared" si="14"/>
        <v/>
      </c>
      <c r="H194" t="str">
        <f t="shared" si="15"/>
        <v/>
      </c>
      <c r="K194" s="5"/>
      <c r="U194" s="5"/>
      <c r="AD194" s="5"/>
      <c r="AR194" s="5"/>
      <c r="BA194" s="35"/>
      <c r="BO194" s="5"/>
      <c r="BS194" s="5"/>
      <c r="BW194" s="5"/>
      <c r="CA194" s="5"/>
      <c r="CE194" s="5"/>
      <c r="CI194" s="5"/>
    </row>
    <row r="195" spans="4:87" x14ac:dyDescent="0.25">
      <c r="D195" s="7" t="str">
        <f t="shared" si="11"/>
        <v/>
      </c>
      <c r="E195" s="6" t="str">
        <f t="shared" si="12"/>
        <v/>
      </c>
      <c r="F195" t="str">
        <f t="shared" si="13"/>
        <v/>
      </c>
      <c r="G195" t="str">
        <f t="shared" si="14"/>
        <v/>
      </c>
      <c r="H195" t="str">
        <f t="shared" si="15"/>
        <v/>
      </c>
      <c r="K195" s="5"/>
      <c r="U195" s="5"/>
      <c r="AD195" s="5"/>
      <c r="AR195" s="5"/>
      <c r="BA195" s="35"/>
      <c r="BO195" s="5"/>
      <c r="BS195" s="5"/>
      <c r="BW195" s="5"/>
      <c r="CA195" s="5"/>
      <c r="CE195" s="5"/>
      <c r="CI195" s="5"/>
    </row>
    <row r="196" spans="4:87" x14ac:dyDescent="0.25">
      <c r="D196" s="7" t="str">
        <f t="shared" si="11"/>
        <v/>
      </c>
      <c r="E196" s="6" t="str">
        <f t="shared" si="12"/>
        <v/>
      </c>
      <c r="F196" t="str">
        <f t="shared" si="13"/>
        <v/>
      </c>
      <c r="G196" t="str">
        <f t="shared" si="14"/>
        <v/>
      </c>
      <c r="H196" t="str">
        <f t="shared" si="15"/>
        <v/>
      </c>
      <c r="K196" s="5"/>
      <c r="U196" s="5"/>
      <c r="AD196" s="5"/>
      <c r="AR196" s="5"/>
      <c r="BA196" s="35"/>
      <c r="BO196" s="5"/>
      <c r="BS196" s="5"/>
      <c r="BW196" s="5"/>
      <c r="CA196" s="5"/>
      <c r="CE196" s="5"/>
      <c r="CI196" s="5"/>
    </row>
    <row r="197" spans="4:87" x14ac:dyDescent="0.25">
      <c r="D197" s="7" t="str">
        <f t="shared" si="11"/>
        <v/>
      </c>
      <c r="E197" s="6" t="str">
        <f t="shared" si="12"/>
        <v/>
      </c>
      <c r="F197" t="str">
        <f t="shared" si="13"/>
        <v/>
      </c>
      <c r="G197" t="str">
        <f t="shared" si="14"/>
        <v/>
      </c>
      <c r="H197" t="str">
        <f t="shared" si="15"/>
        <v/>
      </c>
      <c r="K197" s="5"/>
      <c r="U197" s="5"/>
      <c r="AD197" s="5"/>
      <c r="AR197" s="5"/>
      <c r="BA197" s="35"/>
      <c r="BO197" s="5"/>
      <c r="BS197" s="5"/>
      <c r="BW197" s="5"/>
      <c r="CA197" s="5"/>
      <c r="CE197" s="5"/>
      <c r="CI197" s="5"/>
    </row>
    <row r="198" spans="4:87" x14ac:dyDescent="0.25">
      <c r="D198" s="7" t="str">
        <f t="shared" si="11"/>
        <v/>
      </c>
      <c r="E198" s="6" t="str">
        <f t="shared" si="12"/>
        <v/>
      </c>
      <c r="F198" t="str">
        <f t="shared" si="13"/>
        <v/>
      </c>
      <c r="G198" t="str">
        <f t="shared" si="14"/>
        <v/>
      </c>
      <c r="H198" t="str">
        <f t="shared" si="15"/>
        <v/>
      </c>
      <c r="K198" s="5"/>
      <c r="U198" s="5"/>
      <c r="AD198" s="5"/>
      <c r="AR198" s="5"/>
      <c r="BA198" s="35"/>
      <c r="BO198" s="5"/>
      <c r="BS198" s="5"/>
      <c r="BW198" s="5"/>
      <c r="CA198" s="5"/>
      <c r="CE198" s="5"/>
      <c r="CI198" s="5"/>
    </row>
    <row r="199" spans="4:87" x14ac:dyDescent="0.25">
      <c r="D199" s="7" t="str">
        <f t="shared" si="11"/>
        <v/>
      </c>
      <c r="E199" s="6" t="str">
        <f t="shared" si="12"/>
        <v/>
      </c>
      <c r="F199" t="str">
        <f t="shared" si="13"/>
        <v/>
      </c>
      <c r="G199" t="str">
        <f t="shared" si="14"/>
        <v/>
      </c>
      <c r="H199" t="str">
        <f t="shared" si="15"/>
        <v/>
      </c>
      <c r="K199" s="5"/>
      <c r="U199" s="5"/>
      <c r="AD199" s="5"/>
      <c r="AR199" s="5"/>
      <c r="BA199" s="35"/>
      <c r="BO199" s="5"/>
      <c r="BS199" s="5"/>
      <c r="BW199" s="5"/>
      <c r="CA199" s="5"/>
      <c r="CE199" s="5"/>
      <c r="CI199" s="5"/>
    </row>
    <row r="200" spans="4:87" x14ac:dyDescent="0.25">
      <c r="D200" s="7" t="str">
        <f t="shared" ref="D200:D263" si="16">IF(K200&lt;&gt;"",1+INT((K200-(DATE(YEAR(K200),1,2)-WEEKDAY(DATE(YEAR(K200),1,1))))/7),"")</f>
        <v/>
      </c>
      <c r="E200" s="6" t="str">
        <f t="shared" ref="E200:E263" si="17">IF(K200&lt;&gt;"",TEXT(K200,"ddd"),"")</f>
        <v/>
      </c>
      <c r="F200" t="str">
        <f t="shared" ref="F200:F263" si="18">IF(K200&lt;&gt;"",MONTH(K200),"")</f>
        <v/>
      </c>
      <c r="G200" t="str">
        <f t="shared" ref="G200:G263" si="19">IF(K200&lt;&gt;"",DAY(K200),"")</f>
        <v/>
      </c>
      <c r="H200" t="str">
        <f t="shared" ref="H200:H263" si="20">IF(K200&lt;&gt;"",YEAR(K200),"")</f>
        <v/>
      </c>
      <c r="K200" s="5"/>
      <c r="U200" s="5"/>
      <c r="AD200" s="5"/>
      <c r="AR200" s="5"/>
      <c r="BA200" s="35"/>
      <c r="BO200" s="5"/>
      <c r="BS200" s="5"/>
      <c r="BW200" s="5"/>
      <c r="CA200" s="5"/>
      <c r="CE200" s="5"/>
      <c r="CI200" s="5"/>
    </row>
    <row r="201" spans="4:87" x14ac:dyDescent="0.25">
      <c r="D201" s="7" t="str">
        <f t="shared" si="16"/>
        <v/>
      </c>
      <c r="E201" s="6" t="str">
        <f t="shared" si="17"/>
        <v/>
      </c>
      <c r="F201" t="str">
        <f t="shared" si="18"/>
        <v/>
      </c>
      <c r="G201" t="str">
        <f t="shared" si="19"/>
        <v/>
      </c>
      <c r="H201" t="str">
        <f t="shared" si="20"/>
        <v/>
      </c>
      <c r="K201" s="5"/>
      <c r="U201" s="5"/>
      <c r="AD201" s="5"/>
      <c r="AR201" s="5"/>
      <c r="BA201" s="35"/>
      <c r="BO201" s="5"/>
      <c r="BS201" s="5"/>
      <c r="BW201" s="5"/>
      <c r="CA201" s="5"/>
      <c r="CE201" s="5"/>
      <c r="CI201" s="5"/>
    </row>
    <row r="202" spans="4:87" x14ac:dyDescent="0.25">
      <c r="D202" s="7" t="str">
        <f t="shared" si="16"/>
        <v/>
      </c>
      <c r="E202" s="6" t="str">
        <f t="shared" si="17"/>
        <v/>
      </c>
      <c r="F202" t="str">
        <f t="shared" si="18"/>
        <v/>
      </c>
      <c r="G202" t="str">
        <f t="shared" si="19"/>
        <v/>
      </c>
      <c r="H202" t="str">
        <f t="shared" si="20"/>
        <v/>
      </c>
      <c r="K202" s="5"/>
      <c r="U202" s="5"/>
      <c r="AD202" s="5"/>
      <c r="AR202" s="5"/>
      <c r="BA202" s="35"/>
      <c r="BO202" s="5"/>
      <c r="BS202" s="5"/>
      <c r="BW202" s="5"/>
      <c r="CA202" s="5"/>
      <c r="CE202" s="5"/>
      <c r="CI202" s="5"/>
    </row>
    <row r="203" spans="4:87" x14ac:dyDescent="0.25">
      <c r="D203" s="7" t="str">
        <f t="shared" si="16"/>
        <v/>
      </c>
      <c r="E203" s="6" t="str">
        <f t="shared" si="17"/>
        <v/>
      </c>
      <c r="F203" t="str">
        <f t="shared" si="18"/>
        <v/>
      </c>
      <c r="G203" t="str">
        <f t="shared" si="19"/>
        <v/>
      </c>
      <c r="H203" t="str">
        <f t="shared" si="20"/>
        <v/>
      </c>
      <c r="K203" s="5"/>
      <c r="U203" s="5"/>
      <c r="AD203" s="5"/>
      <c r="AR203" s="5"/>
      <c r="BA203" s="35"/>
      <c r="BO203" s="5"/>
      <c r="BS203" s="5"/>
      <c r="BW203" s="5"/>
      <c r="CA203" s="5"/>
      <c r="CE203" s="5"/>
      <c r="CI203" s="5"/>
    </row>
    <row r="204" spans="4:87" x14ac:dyDescent="0.25">
      <c r="D204" s="7" t="str">
        <f t="shared" si="16"/>
        <v/>
      </c>
      <c r="E204" s="6" t="str">
        <f t="shared" si="17"/>
        <v/>
      </c>
      <c r="F204" t="str">
        <f t="shared" si="18"/>
        <v/>
      </c>
      <c r="G204" t="str">
        <f t="shared" si="19"/>
        <v/>
      </c>
      <c r="H204" t="str">
        <f t="shared" si="20"/>
        <v/>
      </c>
      <c r="K204" s="5"/>
      <c r="U204" s="5"/>
      <c r="AD204" s="5"/>
      <c r="AR204" s="5"/>
      <c r="BA204" s="35"/>
      <c r="BO204" s="5"/>
      <c r="BS204" s="5"/>
      <c r="BW204" s="5"/>
      <c r="CA204" s="5"/>
      <c r="CE204" s="5"/>
      <c r="CI204" s="5"/>
    </row>
    <row r="205" spans="4:87" x14ac:dyDescent="0.25">
      <c r="D205" s="7" t="str">
        <f t="shared" si="16"/>
        <v/>
      </c>
      <c r="E205" s="6" t="str">
        <f t="shared" si="17"/>
        <v/>
      </c>
      <c r="F205" t="str">
        <f t="shared" si="18"/>
        <v/>
      </c>
      <c r="G205" t="str">
        <f t="shared" si="19"/>
        <v/>
      </c>
      <c r="H205" t="str">
        <f t="shared" si="20"/>
        <v/>
      </c>
      <c r="K205" s="5"/>
      <c r="U205" s="5"/>
      <c r="AD205" s="5"/>
      <c r="AR205" s="5"/>
      <c r="BA205" s="35"/>
      <c r="BO205" s="5"/>
      <c r="BS205" s="5"/>
      <c r="BW205" s="5"/>
      <c r="CA205" s="5"/>
      <c r="CE205" s="5"/>
      <c r="CI205" s="5"/>
    </row>
    <row r="206" spans="4:87" x14ac:dyDescent="0.25">
      <c r="D206" s="7" t="str">
        <f t="shared" si="16"/>
        <v/>
      </c>
      <c r="E206" s="6" t="str">
        <f t="shared" si="17"/>
        <v/>
      </c>
      <c r="F206" t="str">
        <f t="shared" si="18"/>
        <v/>
      </c>
      <c r="G206" t="str">
        <f t="shared" si="19"/>
        <v/>
      </c>
      <c r="H206" t="str">
        <f t="shared" si="20"/>
        <v/>
      </c>
      <c r="K206" s="5"/>
      <c r="U206" s="5"/>
      <c r="AD206" s="5"/>
      <c r="AR206" s="5"/>
      <c r="BA206" s="35"/>
      <c r="BO206" s="5"/>
      <c r="BS206" s="5"/>
      <c r="BW206" s="5"/>
      <c r="CA206" s="5"/>
      <c r="CE206" s="5"/>
      <c r="CI206" s="5"/>
    </row>
    <row r="207" spans="4:87" x14ac:dyDescent="0.25">
      <c r="D207" s="7" t="str">
        <f t="shared" si="16"/>
        <v/>
      </c>
      <c r="E207" s="6" t="str">
        <f t="shared" si="17"/>
        <v/>
      </c>
      <c r="F207" t="str">
        <f t="shared" si="18"/>
        <v/>
      </c>
      <c r="G207" t="str">
        <f t="shared" si="19"/>
        <v/>
      </c>
      <c r="H207" t="str">
        <f t="shared" si="20"/>
        <v/>
      </c>
      <c r="K207" s="5"/>
      <c r="U207" s="5"/>
      <c r="AD207" s="5"/>
      <c r="AR207" s="5"/>
      <c r="BA207" s="35"/>
      <c r="BO207" s="5"/>
      <c r="BS207" s="5"/>
      <c r="BW207" s="5"/>
      <c r="CA207" s="5"/>
      <c r="CE207" s="5"/>
      <c r="CI207" s="5"/>
    </row>
    <row r="208" spans="4:87" x14ac:dyDescent="0.25">
      <c r="D208" s="7" t="str">
        <f t="shared" si="16"/>
        <v/>
      </c>
      <c r="E208" s="6" t="str">
        <f t="shared" si="17"/>
        <v/>
      </c>
      <c r="F208" t="str">
        <f t="shared" si="18"/>
        <v/>
      </c>
      <c r="G208" t="str">
        <f t="shared" si="19"/>
        <v/>
      </c>
      <c r="H208" t="str">
        <f t="shared" si="20"/>
        <v/>
      </c>
      <c r="K208" s="5"/>
      <c r="U208" s="5"/>
      <c r="AD208" s="5"/>
      <c r="AR208" s="5"/>
      <c r="BA208" s="35"/>
      <c r="BO208" s="5"/>
      <c r="BS208" s="5"/>
      <c r="BW208" s="5"/>
      <c r="CA208" s="5"/>
      <c r="CE208" s="5"/>
      <c r="CI208" s="5"/>
    </row>
    <row r="209" spans="4:87" x14ac:dyDescent="0.25">
      <c r="D209" s="7" t="str">
        <f t="shared" si="16"/>
        <v/>
      </c>
      <c r="E209" s="6" t="str">
        <f t="shared" si="17"/>
        <v/>
      </c>
      <c r="F209" t="str">
        <f t="shared" si="18"/>
        <v/>
      </c>
      <c r="G209" t="str">
        <f t="shared" si="19"/>
        <v/>
      </c>
      <c r="H209" t="str">
        <f t="shared" si="20"/>
        <v/>
      </c>
      <c r="K209" s="5"/>
      <c r="U209" s="5"/>
      <c r="AD209" s="5"/>
      <c r="AR209" s="5"/>
      <c r="BA209" s="35"/>
      <c r="BO209" s="5"/>
      <c r="BS209" s="5"/>
      <c r="BW209" s="5"/>
      <c r="CA209" s="5"/>
      <c r="CE209" s="5"/>
      <c r="CI209" s="5"/>
    </row>
    <row r="210" spans="4:87" x14ac:dyDescent="0.25">
      <c r="D210" s="7" t="str">
        <f t="shared" si="16"/>
        <v/>
      </c>
      <c r="E210" s="6" t="str">
        <f t="shared" si="17"/>
        <v/>
      </c>
      <c r="F210" t="str">
        <f t="shared" si="18"/>
        <v/>
      </c>
      <c r="G210" t="str">
        <f t="shared" si="19"/>
        <v/>
      </c>
      <c r="H210" t="str">
        <f t="shared" si="20"/>
        <v/>
      </c>
      <c r="K210" s="5"/>
      <c r="U210" s="5"/>
      <c r="AD210" s="5"/>
      <c r="AR210" s="5"/>
      <c r="BA210" s="35"/>
      <c r="BO210" s="5"/>
      <c r="BS210" s="5"/>
      <c r="BW210" s="5"/>
      <c r="CA210" s="5"/>
      <c r="CE210" s="5"/>
      <c r="CI210" s="5"/>
    </row>
    <row r="211" spans="4:87" x14ac:dyDescent="0.25">
      <c r="D211" s="7" t="str">
        <f t="shared" si="16"/>
        <v/>
      </c>
      <c r="E211" s="6" t="str">
        <f t="shared" si="17"/>
        <v/>
      </c>
      <c r="F211" t="str">
        <f t="shared" si="18"/>
        <v/>
      </c>
      <c r="G211" t="str">
        <f t="shared" si="19"/>
        <v/>
      </c>
      <c r="H211" t="str">
        <f t="shared" si="20"/>
        <v/>
      </c>
      <c r="K211" s="5"/>
      <c r="U211" s="5"/>
      <c r="AD211" s="5"/>
      <c r="AR211" s="5"/>
      <c r="BA211" s="35"/>
      <c r="BO211" s="5"/>
      <c r="BS211" s="5"/>
      <c r="BW211" s="5"/>
      <c r="CA211" s="5"/>
      <c r="CE211" s="5"/>
      <c r="CI211" s="5"/>
    </row>
    <row r="212" spans="4:87" x14ac:dyDescent="0.25">
      <c r="D212" s="7" t="str">
        <f t="shared" si="16"/>
        <v/>
      </c>
      <c r="E212" s="6" t="str">
        <f t="shared" si="17"/>
        <v/>
      </c>
      <c r="F212" t="str">
        <f t="shared" si="18"/>
        <v/>
      </c>
      <c r="G212" t="str">
        <f t="shared" si="19"/>
        <v/>
      </c>
      <c r="H212" t="str">
        <f t="shared" si="20"/>
        <v/>
      </c>
      <c r="K212" s="5"/>
      <c r="U212" s="5"/>
      <c r="AD212" s="5"/>
      <c r="AR212" s="5"/>
      <c r="BA212" s="35"/>
      <c r="BO212" s="5"/>
      <c r="BS212" s="5"/>
      <c r="BW212" s="5"/>
      <c r="CA212" s="5"/>
      <c r="CE212" s="5"/>
      <c r="CI212" s="5"/>
    </row>
    <row r="213" spans="4:87" x14ac:dyDescent="0.25">
      <c r="D213" s="7" t="str">
        <f t="shared" si="16"/>
        <v/>
      </c>
      <c r="E213" s="6" t="str">
        <f t="shared" si="17"/>
        <v/>
      </c>
      <c r="F213" t="str">
        <f t="shared" si="18"/>
        <v/>
      </c>
      <c r="G213" t="str">
        <f t="shared" si="19"/>
        <v/>
      </c>
      <c r="H213" t="str">
        <f t="shared" si="20"/>
        <v/>
      </c>
      <c r="K213" s="5"/>
      <c r="U213" s="5"/>
      <c r="AD213" s="5"/>
      <c r="AR213" s="5"/>
      <c r="BA213" s="35"/>
      <c r="BO213" s="5"/>
      <c r="BS213" s="5"/>
      <c r="BW213" s="5"/>
      <c r="CA213" s="5"/>
      <c r="CE213" s="5"/>
      <c r="CI213" s="5"/>
    </row>
    <row r="214" spans="4:87" x14ac:dyDescent="0.25">
      <c r="D214" s="7" t="str">
        <f t="shared" si="16"/>
        <v/>
      </c>
      <c r="E214" s="6" t="str">
        <f t="shared" si="17"/>
        <v/>
      </c>
      <c r="F214" t="str">
        <f t="shared" si="18"/>
        <v/>
      </c>
      <c r="G214" t="str">
        <f t="shared" si="19"/>
        <v/>
      </c>
      <c r="H214" t="str">
        <f t="shared" si="20"/>
        <v/>
      </c>
      <c r="K214" s="5"/>
      <c r="U214" s="5"/>
      <c r="AD214" s="5"/>
      <c r="AR214" s="5"/>
      <c r="BA214" s="35"/>
      <c r="BO214" s="5"/>
      <c r="BS214" s="5"/>
      <c r="BW214" s="5"/>
      <c r="CA214" s="5"/>
      <c r="CE214" s="5"/>
      <c r="CI214" s="5"/>
    </row>
    <row r="215" spans="4:87" x14ac:dyDescent="0.25">
      <c r="D215" s="7" t="str">
        <f t="shared" si="16"/>
        <v/>
      </c>
      <c r="E215" s="6" t="str">
        <f t="shared" si="17"/>
        <v/>
      </c>
      <c r="F215" t="str">
        <f t="shared" si="18"/>
        <v/>
      </c>
      <c r="G215" t="str">
        <f t="shared" si="19"/>
        <v/>
      </c>
      <c r="H215" t="str">
        <f t="shared" si="20"/>
        <v/>
      </c>
      <c r="K215" s="5"/>
      <c r="U215" s="5"/>
      <c r="AD215" s="5"/>
      <c r="AR215" s="5"/>
      <c r="BA215" s="35"/>
      <c r="BO215" s="5"/>
      <c r="BS215" s="5"/>
      <c r="BW215" s="5"/>
      <c r="CA215" s="5"/>
      <c r="CE215" s="5"/>
      <c r="CI215" s="5"/>
    </row>
    <row r="216" spans="4:87" x14ac:dyDescent="0.25">
      <c r="D216" s="7" t="str">
        <f t="shared" si="16"/>
        <v/>
      </c>
      <c r="E216" s="6" t="str">
        <f t="shared" si="17"/>
        <v/>
      </c>
      <c r="F216" t="str">
        <f t="shared" si="18"/>
        <v/>
      </c>
      <c r="G216" t="str">
        <f t="shared" si="19"/>
        <v/>
      </c>
      <c r="H216" t="str">
        <f t="shared" si="20"/>
        <v/>
      </c>
      <c r="K216" s="5"/>
      <c r="U216" s="5"/>
      <c r="AD216" s="5"/>
      <c r="AR216" s="5"/>
      <c r="BA216" s="35"/>
      <c r="BO216" s="5"/>
      <c r="BS216" s="5"/>
      <c r="BW216" s="5"/>
      <c r="CA216" s="5"/>
      <c r="CE216" s="5"/>
      <c r="CI216" s="5"/>
    </row>
    <row r="217" spans="4:87" x14ac:dyDescent="0.25">
      <c r="D217" s="7" t="str">
        <f t="shared" si="16"/>
        <v/>
      </c>
      <c r="E217" s="6" t="str">
        <f t="shared" si="17"/>
        <v/>
      </c>
      <c r="F217" t="str">
        <f t="shared" si="18"/>
        <v/>
      </c>
      <c r="G217" t="str">
        <f t="shared" si="19"/>
        <v/>
      </c>
      <c r="H217" t="str">
        <f t="shared" si="20"/>
        <v/>
      </c>
      <c r="K217" s="5"/>
      <c r="U217" s="5"/>
      <c r="AD217" s="5"/>
      <c r="AR217" s="5"/>
      <c r="BA217" s="35"/>
      <c r="BO217" s="5"/>
      <c r="BS217" s="5"/>
      <c r="BW217" s="5"/>
      <c r="CA217" s="5"/>
      <c r="CE217" s="5"/>
      <c r="CI217" s="5"/>
    </row>
    <row r="218" spans="4:87" x14ac:dyDescent="0.25">
      <c r="D218" s="7" t="str">
        <f t="shared" si="16"/>
        <v/>
      </c>
      <c r="E218" s="6" t="str">
        <f t="shared" si="17"/>
        <v/>
      </c>
      <c r="F218" t="str">
        <f t="shared" si="18"/>
        <v/>
      </c>
      <c r="G218" t="str">
        <f t="shared" si="19"/>
        <v/>
      </c>
      <c r="H218" t="str">
        <f t="shared" si="20"/>
        <v/>
      </c>
      <c r="K218" s="5"/>
      <c r="U218" s="5"/>
      <c r="AD218" s="5"/>
      <c r="AR218" s="5"/>
      <c r="BA218" s="35"/>
      <c r="BO218" s="5"/>
      <c r="BS218" s="5"/>
      <c r="BW218" s="5"/>
      <c r="CA218" s="5"/>
      <c r="CE218" s="5"/>
      <c r="CI218" s="5"/>
    </row>
    <row r="219" spans="4:87" x14ac:dyDescent="0.25">
      <c r="D219" s="7" t="str">
        <f t="shared" si="16"/>
        <v/>
      </c>
      <c r="E219" s="6" t="str">
        <f t="shared" si="17"/>
        <v/>
      </c>
      <c r="F219" t="str">
        <f t="shared" si="18"/>
        <v/>
      </c>
      <c r="G219" t="str">
        <f t="shared" si="19"/>
        <v/>
      </c>
      <c r="H219" t="str">
        <f t="shared" si="20"/>
        <v/>
      </c>
      <c r="K219" s="5"/>
      <c r="U219" s="5"/>
      <c r="AD219" s="5"/>
      <c r="AR219" s="5"/>
      <c r="BA219" s="35"/>
      <c r="BO219" s="5"/>
      <c r="BS219" s="5"/>
      <c r="BW219" s="5"/>
      <c r="CA219" s="5"/>
      <c r="CE219" s="5"/>
      <c r="CI219" s="5"/>
    </row>
    <row r="220" spans="4:87" x14ac:dyDescent="0.25">
      <c r="D220" s="7" t="str">
        <f t="shared" si="16"/>
        <v/>
      </c>
      <c r="E220" s="6" t="str">
        <f t="shared" si="17"/>
        <v/>
      </c>
      <c r="F220" t="str">
        <f t="shared" si="18"/>
        <v/>
      </c>
      <c r="G220" t="str">
        <f t="shared" si="19"/>
        <v/>
      </c>
      <c r="H220" t="str">
        <f t="shared" si="20"/>
        <v/>
      </c>
      <c r="K220" s="5"/>
      <c r="U220" s="5"/>
      <c r="AD220" s="5"/>
      <c r="AR220" s="5"/>
      <c r="BA220" s="35"/>
      <c r="BO220" s="5"/>
      <c r="BS220" s="5"/>
      <c r="BW220" s="5"/>
      <c r="CA220" s="5"/>
      <c r="CE220" s="5"/>
      <c r="CI220" s="5"/>
    </row>
    <row r="221" spans="4:87" x14ac:dyDescent="0.25">
      <c r="D221" s="7" t="str">
        <f t="shared" si="16"/>
        <v/>
      </c>
      <c r="E221" s="6" t="str">
        <f t="shared" si="17"/>
        <v/>
      </c>
      <c r="F221" t="str">
        <f t="shared" si="18"/>
        <v/>
      </c>
      <c r="G221" t="str">
        <f t="shared" si="19"/>
        <v/>
      </c>
      <c r="H221" t="str">
        <f t="shared" si="20"/>
        <v/>
      </c>
      <c r="K221" s="5"/>
      <c r="U221" s="5"/>
      <c r="AD221" s="5"/>
      <c r="AR221" s="5"/>
      <c r="BA221" s="35"/>
      <c r="BO221" s="5"/>
      <c r="BS221" s="5"/>
      <c r="BW221" s="5"/>
      <c r="CA221" s="5"/>
      <c r="CE221" s="5"/>
      <c r="CI221" s="5"/>
    </row>
    <row r="222" spans="4:87" x14ac:dyDescent="0.25">
      <c r="D222" s="7" t="str">
        <f t="shared" si="16"/>
        <v/>
      </c>
      <c r="E222" s="6" t="str">
        <f t="shared" si="17"/>
        <v/>
      </c>
      <c r="F222" t="str">
        <f t="shared" si="18"/>
        <v/>
      </c>
      <c r="G222" t="str">
        <f t="shared" si="19"/>
        <v/>
      </c>
      <c r="H222" t="str">
        <f t="shared" si="20"/>
        <v/>
      </c>
      <c r="K222" s="5"/>
      <c r="U222" s="5"/>
      <c r="AD222" s="5"/>
      <c r="AR222" s="5"/>
      <c r="BA222" s="35"/>
      <c r="BO222" s="5"/>
      <c r="BS222" s="5"/>
      <c r="BW222" s="5"/>
      <c r="CA222" s="5"/>
      <c r="CE222" s="5"/>
      <c r="CI222" s="5"/>
    </row>
    <row r="223" spans="4:87" x14ac:dyDescent="0.25">
      <c r="D223" s="7" t="str">
        <f t="shared" si="16"/>
        <v/>
      </c>
      <c r="E223" s="6" t="str">
        <f t="shared" si="17"/>
        <v/>
      </c>
      <c r="F223" t="str">
        <f t="shared" si="18"/>
        <v/>
      </c>
      <c r="G223" t="str">
        <f t="shared" si="19"/>
        <v/>
      </c>
      <c r="H223" t="str">
        <f t="shared" si="20"/>
        <v/>
      </c>
      <c r="K223" s="5"/>
      <c r="U223" s="5"/>
      <c r="AD223" s="5"/>
      <c r="AR223" s="5"/>
      <c r="BA223" s="35"/>
      <c r="BO223" s="5"/>
      <c r="BS223" s="5"/>
      <c r="BW223" s="5"/>
      <c r="CA223" s="5"/>
      <c r="CE223" s="5"/>
      <c r="CI223" s="5"/>
    </row>
    <row r="224" spans="4:87" x14ac:dyDescent="0.25">
      <c r="D224" s="7" t="str">
        <f t="shared" si="16"/>
        <v/>
      </c>
      <c r="E224" s="6" t="str">
        <f t="shared" si="17"/>
        <v/>
      </c>
      <c r="F224" t="str">
        <f t="shared" si="18"/>
        <v/>
      </c>
      <c r="G224" t="str">
        <f t="shared" si="19"/>
        <v/>
      </c>
      <c r="H224" t="str">
        <f t="shared" si="20"/>
        <v/>
      </c>
      <c r="K224" s="5"/>
      <c r="U224" s="5"/>
      <c r="AD224" s="5"/>
      <c r="AR224" s="5"/>
      <c r="BA224" s="35"/>
      <c r="BO224" s="5"/>
      <c r="BS224" s="5"/>
      <c r="BW224" s="5"/>
      <c r="CA224" s="5"/>
      <c r="CE224" s="5"/>
      <c r="CI224" s="5"/>
    </row>
    <row r="225" spans="4:87" x14ac:dyDescent="0.25">
      <c r="D225" s="7" t="str">
        <f t="shared" si="16"/>
        <v/>
      </c>
      <c r="E225" s="6" t="str">
        <f t="shared" si="17"/>
        <v/>
      </c>
      <c r="F225" t="str">
        <f t="shared" si="18"/>
        <v/>
      </c>
      <c r="G225" t="str">
        <f t="shared" si="19"/>
        <v/>
      </c>
      <c r="H225" t="str">
        <f t="shared" si="20"/>
        <v/>
      </c>
      <c r="K225" s="5"/>
      <c r="U225" s="5"/>
      <c r="AD225" s="5"/>
      <c r="AR225" s="5"/>
      <c r="BA225" s="35"/>
      <c r="BO225" s="5"/>
      <c r="BS225" s="5"/>
      <c r="BW225" s="5"/>
      <c r="CA225" s="5"/>
      <c r="CE225" s="5"/>
      <c r="CI225" s="5"/>
    </row>
    <row r="226" spans="4:87" x14ac:dyDescent="0.25">
      <c r="D226" s="7" t="str">
        <f t="shared" si="16"/>
        <v/>
      </c>
      <c r="E226" s="6" t="str">
        <f t="shared" si="17"/>
        <v/>
      </c>
      <c r="F226" t="str">
        <f t="shared" si="18"/>
        <v/>
      </c>
      <c r="G226" t="str">
        <f t="shared" si="19"/>
        <v/>
      </c>
      <c r="H226" t="str">
        <f t="shared" si="20"/>
        <v/>
      </c>
      <c r="K226" s="5"/>
      <c r="U226" s="5"/>
      <c r="AD226" s="5"/>
      <c r="AR226" s="5"/>
      <c r="BA226" s="35"/>
      <c r="BO226" s="5"/>
      <c r="BS226" s="5"/>
      <c r="BW226" s="5"/>
      <c r="CA226" s="5"/>
      <c r="CE226" s="5"/>
      <c r="CI226" s="5"/>
    </row>
    <row r="227" spans="4:87" x14ac:dyDescent="0.25">
      <c r="D227" s="7" t="str">
        <f t="shared" si="16"/>
        <v/>
      </c>
      <c r="E227" s="6" t="str">
        <f t="shared" si="17"/>
        <v/>
      </c>
      <c r="F227" t="str">
        <f t="shared" si="18"/>
        <v/>
      </c>
      <c r="G227" t="str">
        <f t="shared" si="19"/>
        <v/>
      </c>
      <c r="H227" t="str">
        <f t="shared" si="20"/>
        <v/>
      </c>
      <c r="K227" s="5"/>
      <c r="U227" s="5"/>
      <c r="AD227" s="5"/>
      <c r="AR227" s="5"/>
      <c r="BA227" s="35"/>
      <c r="BO227" s="5"/>
      <c r="BS227" s="5"/>
      <c r="BW227" s="5"/>
      <c r="CA227" s="5"/>
      <c r="CE227" s="5"/>
      <c r="CI227" s="5"/>
    </row>
    <row r="228" spans="4:87" x14ac:dyDescent="0.25">
      <c r="D228" s="7" t="str">
        <f t="shared" si="16"/>
        <v/>
      </c>
      <c r="E228" s="6" t="str">
        <f t="shared" si="17"/>
        <v/>
      </c>
      <c r="F228" t="str">
        <f t="shared" si="18"/>
        <v/>
      </c>
      <c r="G228" t="str">
        <f t="shared" si="19"/>
        <v/>
      </c>
      <c r="H228" t="str">
        <f t="shared" si="20"/>
        <v/>
      </c>
      <c r="K228" s="5"/>
      <c r="U228" s="5"/>
      <c r="AD228" s="5"/>
      <c r="AR228" s="5"/>
      <c r="BA228" s="35"/>
      <c r="BO228" s="5"/>
      <c r="BS228" s="5"/>
      <c r="BW228" s="5"/>
      <c r="CA228" s="5"/>
      <c r="CE228" s="5"/>
      <c r="CI228" s="5"/>
    </row>
    <row r="229" spans="4:87" x14ac:dyDescent="0.25">
      <c r="D229" s="7" t="str">
        <f t="shared" si="16"/>
        <v/>
      </c>
      <c r="E229" s="6" t="str">
        <f t="shared" si="17"/>
        <v/>
      </c>
      <c r="F229" t="str">
        <f t="shared" si="18"/>
        <v/>
      </c>
      <c r="G229" t="str">
        <f t="shared" si="19"/>
        <v/>
      </c>
      <c r="H229" t="str">
        <f t="shared" si="20"/>
        <v/>
      </c>
      <c r="K229" s="5"/>
      <c r="U229" s="5"/>
      <c r="AD229" s="5"/>
      <c r="AR229" s="5"/>
      <c r="BA229" s="35"/>
      <c r="BO229" s="5"/>
      <c r="BS229" s="5"/>
      <c r="BW229" s="5"/>
      <c r="CA229" s="5"/>
      <c r="CE229" s="5"/>
      <c r="CI229" s="5"/>
    </row>
    <row r="230" spans="4:87" x14ac:dyDescent="0.25">
      <c r="D230" s="7" t="str">
        <f t="shared" si="16"/>
        <v/>
      </c>
      <c r="E230" s="6" t="str">
        <f t="shared" si="17"/>
        <v/>
      </c>
      <c r="F230" t="str">
        <f t="shared" si="18"/>
        <v/>
      </c>
      <c r="G230" t="str">
        <f t="shared" si="19"/>
        <v/>
      </c>
      <c r="H230" t="str">
        <f t="shared" si="20"/>
        <v/>
      </c>
      <c r="K230" s="5"/>
      <c r="U230" s="5"/>
      <c r="AD230" s="5"/>
      <c r="AR230" s="5"/>
      <c r="BA230" s="35"/>
      <c r="BO230" s="5"/>
      <c r="BS230" s="5"/>
      <c r="BW230" s="5"/>
      <c r="CA230" s="5"/>
      <c r="CE230" s="5"/>
      <c r="CI230" s="5"/>
    </row>
    <row r="231" spans="4:87" x14ac:dyDescent="0.25">
      <c r="D231" s="7" t="str">
        <f t="shared" si="16"/>
        <v/>
      </c>
      <c r="E231" s="6" t="str">
        <f t="shared" si="17"/>
        <v/>
      </c>
      <c r="F231" t="str">
        <f t="shared" si="18"/>
        <v/>
      </c>
      <c r="G231" t="str">
        <f t="shared" si="19"/>
        <v/>
      </c>
      <c r="H231" t="str">
        <f t="shared" si="20"/>
        <v/>
      </c>
      <c r="K231" s="5"/>
      <c r="U231" s="5"/>
      <c r="AD231" s="5"/>
      <c r="AR231" s="5"/>
      <c r="BA231" s="35"/>
      <c r="BO231" s="5"/>
      <c r="BS231" s="5"/>
      <c r="BW231" s="5"/>
      <c r="CA231" s="5"/>
      <c r="CE231" s="5"/>
      <c r="CI231" s="5"/>
    </row>
    <row r="232" spans="4:87" x14ac:dyDescent="0.25">
      <c r="D232" s="7" t="str">
        <f t="shared" si="16"/>
        <v/>
      </c>
      <c r="E232" s="6" t="str">
        <f t="shared" si="17"/>
        <v/>
      </c>
      <c r="F232" t="str">
        <f t="shared" si="18"/>
        <v/>
      </c>
      <c r="G232" t="str">
        <f t="shared" si="19"/>
        <v/>
      </c>
      <c r="H232" t="str">
        <f t="shared" si="20"/>
        <v/>
      </c>
      <c r="K232" s="5"/>
      <c r="U232" s="5"/>
      <c r="AD232" s="5"/>
      <c r="AR232" s="5"/>
      <c r="BA232" s="35"/>
      <c r="BO232" s="5"/>
      <c r="BS232" s="5"/>
      <c r="BW232" s="5"/>
      <c r="CA232" s="5"/>
      <c r="CE232" s="5"/>
      <c r="CI232" s="5"/>
    </row>
    <row r="233" spans="4:87" x14ac:dyDescent="0.25">
      <c r="D233" s="7" t="str">
        <f t="shared" si="16"/>
        <v/>
      </c>
      <c r="E233" s="6" t="str">
        <f t="shared" si="17"/>
        <v/>
      </c>
      <c r="F233" t="str">
        <f t="shared" si="18"/>
        <v/>
      </c>
      <c r="G233" t="str">
        <f t="shared" si="19"/>
        <v/>
      </c>
      <c r="H233" t="str">
        <f t="shared" si="20"/>
        <v/>
      </c>
      <c r="K233" s="5"/>
      <c r="U233" s="5"/>
      <c r="AD233" s="5"/>
      <c r="AR233" s="5"/>
      <c r="BA233" s="35"/>
      <c r="BO233" s="5"/>
      <c r="BS233" s="5"/>
      <c r="BW233" s="5"/>
      <c r="CA233" s="5"/>
      <c r="CE233" s="5"/>
      <c r="CI233" s="5"/>
    </row>
    <row r="234" spans="4:87" x14ac:dyDescent="0.25">
      <c r="D234" s="7" t="str">
        <f t="shared" si="16"/>
        <v/>
      </c>
      <c r="E234" s="6" t="str">
        <f t="shared" si="17"/>
        <v/>
      </c>
      <c r="F234" t="str">
        <f t="shared" si="18"/>
        <v/>
      </c>
      <c r="G234" t="str">
        <f t="shared" si="19"/>
        <v/>
      </c>
      <c r="H234" t="str">
        <f t="shared" si="20"/>
        <v/>
      </c>
      <c r="K234" s="5"/>
      <c r="U234" s="5"/>
      <c r="AD234" s="5"/>
      <c r="AR234" s="5"/>
      <c r="BA234" s="35"/>
      <c r="BO234" s="5"/>
      <c r="BS234" s="5"/>
      <c r="BW234" s="5"/>
      <c r="CA234" s="5"/>
      <c r="CE234" s="5"/>
      <c r="CI234" s="5"/>
    </row>
    <row r="235" spans="4:87" x14ac:dyDescent="0.25">
      <c r="D235" s="7" t="str">
        <f t="shared" si="16"/>
        <v/>
      </c>
      <c r="E235" s="6" t="str">
        <f t="shared" si="17"/>
        <v/>
      </c>
      <c r="F235" t="str">
        <f t="shared" si="18"/>
        <v/>
      </c>
      <c r="G235" t="str">
        <f t="shared" si="19"/>
        <v/>
      </c>
      <c r="H235" t="str">
        <f t="shared" si="20"/>
        <v/>
      </c>
      <c r="K235" s="5"/>
      <c r="U235" s="5"/>
      <c r="AD235" s="5"/>
      <c r="AR235" s="5"/>
      <c r="BA235" s="35"/>
      <c r="BO235" s="5"/>
      <c r="BS235" s="5"/>
      <c r="BW235" s="5"/>
      <c r="CA235" s="5"/>
      <c r="CE235" s="5"/>
      <c r="CI235" s="5"/>
    </row>
    <row r="236" spans="4:87" x14ac:dyDescent="0.25">
      <c r="D236" s="7" t="str">
        <f t="shared" si="16"/>
        <v/>
      </c>
      <c r="E236" s="6" t="str">
        <f t="shared" si="17"/>
        <v/>
      </c>
      <c r="F236" t="str">
        <f t="shared" si="18"/>
        <v/>
      </c>
      <c r="G236" t="str">
        <f t="shared" si="19"/>
        <v/>
      </c>
      <c r="H236" t="str">
        <f t="shared" si="20"/>
        <v/>
      </c>
      <c r="K236" s="5"/>
      <c r="U236" s="5"/>
      <c r="AD236" s="5"/>
      <c r="AR236" s="5"/>
      <c r="BA236" s="35"/>
      <c r="BO236" s="5"/>
      <c r="BS236" s="5"/>
      <c r="BW236" s="5"/>
      <c r="CA236" s="5"/>
      <c r="CE236" s="5"/>
      <c r="CI236" s="5"/>
    </row>
    <row r="237" spans="4:87" x14ac:dyDescent="0.25">
      <c r="D237" s="7" t="str">
        <f t="shared" si="16"/>
        <v/>
      </c>
      <c r="E237" s="6" t="str">
        <f t="shared" si="17"/>
        <v/>
      </c>
      <c r="F237" t="str">
        <f t="shared" si="18"/>
        <v/>
      </c>
      <c r="G237" t="str">
        <f t="shared" si="19"/>
        <v/>
      </c>
      <c r="H237" t="str">
        <f t="shared" si="20"/>
        <v/>
      </c>
      <c r="K237" s="5"/>
      <c r="U237" s="5"/>
      <c r="AD237" s="5"/>
      <c r="AR237" s="5"/>
      <c r="BA237" s="35"/>
      <c r="BO237" s="5"/>
      <c r="BS237" s="5"/>
      <c r="BW237" s="5"/>
      <c r="CA237" s="5"/>
      <c r="CE237" s="5"/>
      <c r="CI237" s="5"/>
    </row>
    <row r="238" spans="4:87" x14ac:dyDescent="0.25">
      <c r="D238" s="7" t="str">
        <f t="shared" si="16"/>
        <v/>
      </c>
      <c r="E238" s="6" t="str">
        <f t="shared" si="17"/>
        <v/>
      </c>
      <c r="F238" t="str">
        <f t="shared" si="18"/>
        <v/>
      </c>
      <c r="G238" t="str">
        <f t="shared" si="19"/>
        <v/>
      </c>
      <c r="H238" t="str">
        <f t="shared" si="20"/>
        <v/>
      </c>
      <c r="K238" s="5"/>
      <c r="U238" s="5"/>
      <c r="AD238" s="5"/>
      <c r="AR238" s="5"/>
      <c r="BA238" s="35"/>
      <c r="BO238" s="5"/>
      <c r="BS238" s="5"/>
      <c r="BW238" s="5"/>
      <c r="CA238" s="5"/>
      <c r="CE238" s="5"/>
      <c r="CI238" s="5"/>
    </row>
    <row r="239" spans="4:87" x14ac:dyDescent="0.25">
      <c r="D239" s="7" t="str">
        <f t="shared" si="16"/>
        <v/>
      </c>
      <c r="E239" s="6" t="str">
        <f t="shared" si="17"/>
        <v/>
      </c>
      <c r="F239" t="str">
        <f t="shared" si="18"/>
        <v/>
      </c>
      <c r="G239" t="str">
        <f t="shared" si="19"/>
        <v/>
      </c>
      <c r="H239" t="str">
        <f t="shared" si="20"/>
        <v/>
      </c>
      <c r="K239" s="5"/>
      <c r="U239" s="5"/>
      <c r="AD239" s="5"/>
      <c r="AR239" s="5"/>
      <c r="BA239" s="35"/>
      <c r="BO239" s="5"/>
      <c r="BS239" s="5"/>
      <c r="BW239" s="5"/>
      <c r="CA239" s="5"/>
      <c r="CE239" s="5"/>
      <c r="CI239" s="5"/>
    </row>
    <row r="240" spans="4:87" x14ac:dyDescent="0.25">
      <c r="D240" s="7" t="str">
        <f t="shared" si="16"/>
        <v/>
      </c>
      <c r="E240" s="6" t="str">
        <f t="shared" si="17"/>
        <v/>
      </c>
      <c r="F240" t="str">
        <f t="shared" si="18"/>
        <v/>
      </c>
      <c r="G240" t="str">
        <f t="shared" si="19"/>
        <v/>
      </c>
      <c r="H240" t="str">
        <f t="shared" si="20"/>
        <v/>
      </c>
      <c r="K240" s="5"/>
      <c r="U240" s="5"/>
      <c r="AD240" s="5"/>
      <c r="AR240" s="5"/>
      <c r="BA240" s="35"/>
      <c r="BO240" s="5"/>
      <c r="BS240" s="5"/>
      <c r="BW240" s="5"/>
      <c r="CA240" s="5"/>
      <c r="CE240" s="5"/>
      <c r="CI240" s="5"/>
    </row>
    <row r="241" spans="4:87" x14ac:dyDescent="0.25">
      <c r="D241" s="7" t="str">
        <f t="shared" si="16"/>
        <v/>
      </c>
      <c r="E241" s="6" t="str">
        <f t="shared" si="17"/>
        <v/>
      </c>
      <c r="F241" t="str">
        <f t="shared" si="18"/>
        <v/>
      </c>
      <c r="G241" t="str">
        <f t="shared" si="19"/>
        <v/>
      </c>
      <c r="H241" t="str">
        <f t="shared" si="20"/>
        <v/>
      </c>
      <c r="K241" s="5"/>
      <c r="U241" s="5"/>
      <c r="AD241" s="5"/>
      <c r="AR241" s="5"/>
      <c r="BA241" s="35"/>
      <c r="BO241" s="5"/>
      <c r="BS241" s="5"/>
      <c r="BW241" s="5"/>
      <c r="CA241" s="5"/>
      <c r="CE241" s="5"/>
      <c r="CI241" s="5"/>
    </row>
    <row r="242" spans="4:87" x14ac:dyDescent="0.25">
      <c r="D242" s="7" t="str">
        <f t="shared" si="16"/>
        <v/>
      </c>
      <c r="E242" s="6" t="str">
        <f t="shared" si="17"/>
        <v/>
      </c>
      <c r="F242" t="str">
        <f t="shared" si="18"/>
        <v/>
      </c>
      <c r="G242" t="str">
        <f t="shared" si="19"/>
        <v/>
      </c>
      <c r="H242" t="str">
        <f t="shared" si="20"/>
        <v/>
      </c>
      <c r="K242" s="5"/>
      <c r="U242" s="5"/>
      <c r="AD242" s="5"/>
      <c r="AR242" s="5"/>
      <c r="BA242" s="35"/>
      <c r="BO242" s="5"/>
      <c r="BS242" s="5"/>
      <c r="BW242" s="5"/>
      <c r="CA242" s="5"/>
      <c r="CE242" s="5"/>
      <c r="CI242" s="5"/>
    </row>
    <row r="243" spans="4:87" x14ac:dyDescent="0.25">
      <c r="D243" s="7" t="str">
        <f t="shared" si="16"/>
        <v/>
      </c>
      <c r="E243" s="6" t="str">
        <f t="shared" si="17"/>
        <v/>
      </c>
      <c r="F243" t="str">
        <f t="shared" si="18"/>
        <v/>
      </c>
      <c r="G243" t="str">
        <f t="shared" si="19"/>
        <v/>
      </c>
      <c r="H243" t="str">
        <f t="shared" si="20"/>
        <v/>
      </c>
      <c r="K243" s="5"/>
      <c r="U243" s="5"/>
      <c r="AD243" s="5"/>
      <c r="AR243" s="5"/>
      <c r="BA243" s="35"/>
      <c r="BO243" s="5"/>
      <c r="BS243" s="5"/>
      <c r="BW243" s="5"/>
      <c r="CA243" s="5"/>
      <c r="CE243" s="5"/>
      <c r="CI243" s="5"/>
    </row>
    <row r="244" spans="4:87" x14ac:dyDescent="0.25">
      <c r="D244" s="7" t="str">
        <f t="shared" si="16"/>
        <v/>
      </c>
      <c r="E244" s="6" t="str">
        <f t="shared" si="17"/>
        <v/>
      </c>
      <c r="F244" t="str">
        <f t="shared" si="18"/>
        <v/>
      </c>
      <c r="G244" t="str">
        <f t="shared" si="19"/>
        <v/>
      </c>
      <c r="H244" t="str">
        <f t="shared" si="20"/>
        <v/>
      </c>
      <c r="K244" s="5"/>
      <c r="U244" s="5"/>
      <c r="AD244" s="5"/>
      <c r="AR244" s="5"/>
      <c r="BA244" s="35"/>
      <c r="BO244" s="5"/>
      <c r="BS244" s="5"/>
      <c r="BW244" s="5"/>
      <c r="CA244" s="5"/>
      <c r="CE244" s="5"/>
      <c r="CI244" s="5"/>
    </row>
    <row r="245" spans="4:87" x14ac:dyDescent="0.25">
      <c r="D245" s="7" t="str">
        <f t="shared" si="16"/>
        <v/>
      </c>
      <c r="E245" s="6" t="str">
        <f t="shared" si="17"/>
        <v/>
      </c>
      <c r="F245" t="str">
        <f t="shared" si="18"/>
        <v/>
      </c>
      <c r="G245" t="str">
        <f t="shared" si="19"/>
        <v/>
      </c>
      <c r="H245" t="str">
        <f t="shared" si="20"/>
        <v/>
      </c>
      <c r="K245" s="5"/>
      <c r="U245" s="5"/>
      <c r="AD245" s="5"/>
      <c r="AR245" s="5"/>
      <c r="BA245" s="35"/>
      <c r="BO245" s="5"/>
      <c r="BS245" s="5"/>
      <c r="BW245" s="5"/>
      <c r="CA245" s="5"/>
      <c r="CE245" s="5"/>
      <c r="CI245" s="5"/>
    </row>
    <row r="246" spans="4:87" x14ac:dyDescent="0.25">
      <c r="D246" s="7" t="str">
        <f t="shared" si="16"/>
        <v/>
      </c>
      <c r="E246" s="6" t="str">
        <f t="shared" si="17"/>
        <v/>
      </c>
      <c r="F246" t="str">
        <f t="shared" si="18"/>
        <v/>
      </c>
      <c r="G246" t="str">
        <f t="shared" si="19"/>
        <v/>
      </c>
      <c r="H246" t="str">
        <f t="shared" si="20"/>
        <v/>
      </c>
      <c r="K246" s="5"/>
      <c r="U246" s="5"/>
      <c r="AD246" s="5"/>
      <c r="AR246" s="5"/>
      <c r="BA246" s="35"/>
      <c r="BO246" s="5"/>
      <c r="BS246" s="5"/>
      <c r="BW246" s="5"/>
      <c r="CA246" s="5"/>
      <c r="CE246" s="5"/>
      <c r="CI246" s="5"/>
    </row>
    <row r="247" spans="4:87" x14ac:dyDescent="0.25">
      <c r="D247" s="7" t="str">
        <f t="shared" si="16"/>
        <v/>
      </c>
      <c r="E247" s="6" t="str">
        <f t="shared" si="17"/>
        <v/>
      </c>
      <c r="F247" t="str">
        <f t="shared" si="18"/>
        <v/>
      </c>
      <c r="G247" t="str">
        <f t="shared" si="19"/>
        <v/>
      </c>
      <c r="H247" t="str">
        <f t="shared" si="20"/>
        <v/>
      </c>
      <c r="K247" s="5"/>
      <c r="U247" s="5"/>
      <c r="AD247" s="5"/>
      <c r="AR247" s="5"/>
      <c r="BA247" s="35"/>
      <c r="BO247" s="5"/>
      <c r="BS247" s="5"/>
      <c r="BW247" s="5"/>
      <c r="CA247" s="5"/>
      <c r="CE247" s="5"/>
      <c r="CI247" s="5"/>
    </row>
    <row r="248" spans="4:87" x14ac:dyDescent="0.25">
      <c r="D248" s="7" t="str">
        <f t="shared" si="16"/>
        <v/>
      </c>
      <c r="E248" s="6" t="str">
        <f t="shared" si="17"/>
        <v/>
      </c>
      <c r="F248" t="str">
        <f t="shared" si="18"/>
        <v/>
      </c>
      <c r="G248" t="str">
        <f t="shared" si="19"/>
        <v/>
      </c>
      <c r="H248" t="str">
        <f t="shared" si="20"/>
        <v/>
      </c>
      <c r="K248" s="5"/>
      <c r="U248" s="5"/>
      <c r="AD248" s="5"/>
      <c r="AR248" s="5"/>
      <c r="BA248" s="35"/>
      <c r="BO248" s="5"/>
      <c r="BS248" s="5"/>
      <c r="BW248" s="5"/>
      <c r="CA248" s="5"/>
      <c r="CE248" s="5"/>
      <c r="CI248" s="5"/>
    </row>
    <row r="249" spans="4:87" x14ac:dyDescent="0.25">
      <c r="D249" s="7" t="str">
        <f t="shared" si="16"/>
        <v/>
      </c>
      <c r="E249" s="6" t="str">
        <f t="shared" si="17"/>
        <v/>
      </c>
      <c r="F249" t="str">
        <f t="shared" si="18"/>
        <v/>
      </c>
      <c r="G249" t="str">
        <f t="shared" si="19"/>
        <v/>
      </c>
      <c r="H249" t="str">
        <f t="shared" si="20"/>
        <v/>
      </c>
      <c r="K249" s="5"/>
      <c r="U249" s="5"/>
      <c r="AD249" s="5"/>
      <c r="AR249" s="5"/>
      <c r="BA249" s="35"/>
      <c r="BO249" s="5"/>
      <c r="BS249" s="5"/>
      <c r="BW249" s="5"/>
      <c r="CA249" s="5"/>
      <c r="CE249" s="5"/>
      <c r="CI249" s="5"/>
    </row>
    <row r="250" spans="4:87" x14ac:dyDescent="0.25">
      <c r="D250" s="7" t="str">
        <f t="shared" si="16"/>
        <v/>
      </c>
      <c r="E250" s="6" t="str">
        <f t="shared" si="17"/>
        <v/>
      </c>
      <c r="F250" t="str">
        <f t="shared" si="18"/>
        <v/>
      </c>
      <c r="G250" t="str">
        <f t="shared" si="19"/>
        <v/>
      </c>
      <c r="H250" t="str">
        <f t="shared" si="20"/>
        <v/>
      </c>
      <c r="K250" s="5"/>
      <c r="U250" s="5"/>
      <c r="AD250" s="5"/>
      <c r="AR250" s="5"/>
      <c r="BA250" s="35"/>
      <c r="BO250" s="5"/>
      <c r="BS250" s="5"/>
      <c r="BW250" s="5"/>
      <c r="CA250" s="5"/>
      <c r="CE250" s="5"/>
      <c r="CI250" s="5"/>
    </row>
    <row r="251" spans="4:87" x14ac:dyDescent="0.25">
      <c r="D251" s="7" t="str">
        <f t="shared" si="16"/>
        <v/>
      </c>
      <c r="E251" s="6" t="str">
        <f t="shared" si="17"/>
        <v/>
      </c>
      <c r="F251" t="str">
        <f t="shared" si="18"/>
        <v/>
      </c>
      <c r="G251" t="str">
        <f t="shared" si="19"/>
        <v/>
      </c>
      <c r="H251" t="str">
        <f t="shared" si="20"/>
        <v/>
      </c>
      <c r="K251" s="5"/>
      <c r="U251" s="5"/>
      <c r="AD251" s="5"/>
      <c r="AR251" s="5"/>
      <c r="BA251" s="35"/>
      <c r="BO251" s="5"/>
      <c r="BS251" s="5"/>
      <c r="BW251" s="5"/>
      <c r="CA251" s="5"/>
      <c r="CE251" s="5"/>
      <c r="CI251" s="5"/>
    </row>
    <row r="252" spans="4:87" x14ac:dyDescent="0.25">
      <c r="D252" s="7" t="str">
        <f t="shared" si="16"/>
        <v/>
      </c>
      <c r="E252" s="6" t="str">
        <f t="shared" si="17"/>
        <v/>
      </c>
      <c r="F252" t="str">
        <f t="shared" si="18"/>
        <v/>
      </c>
      <c r="G252" t="str">
        <f t="shared" si="19"/>
        <v/>
      </c>
      <c r="H252" t="str">
        <f t="shared" si="20"/>
        <v/>
      </c>
      <c r="K252" s="5"/>
      <c r="U252" s="5"/>
      <c r="AD252" s="5"/>
      <c r="AR252" s="5"/>
      <c r="BA252" s="35"/>
      <c r="BO252" s="5"/>
      <c r="BS252" s="5"/>
      <c r="BW252" s="5"/>
      <c r="CA252" s="5"/>
      <c r="CE252" s="5"/>
      <c r="CI252" s="5"/>
    </row>
    <row r="253" spans="4:87" x14ac:dyDescent="0.25">
      <c r="D253" s="7" t="str">
        <f t="shared" si="16"/>
        <v/>
      </c>
      <c r="E253" s="6" t="str">
        <f t="shared" si="17"/>
        <v/>
      </c>
      <c r="F253" t="str">
        <f t="shared" si="18"/>
        <v/>
      </c>
      <c r="G253" t="str">
        <f t="shared" si="19"/>
        <v/>
      </c>
      <c r="H253" t="str">
        <f t="shared" si="20"/>
        <v/>
      </c>
      <c r="K253" s="5"/>
      <c r="U253" s="5"/>
      <c r="AD253" s="5"/>
      <c r="AR253" s="5"/>
      <c r="BA253" s="35"/>
      <c r="BO253" s="5"/>
      <c r="BS253" s="5"/>
      <c r="BW253" s="5"/>
      <c r="CA253" s="5"/>
      <c r="CE253" s="5"/>
      <c r="CI253" s="5"/>
    </row>
    <row r="254" spans="4:87" x14ac:dyDescent="0.25">
      <c r="D254" s="7" t="str">
        <f t="shared" si="16"/>
        <v/>
      </c>
      <c r="E254" s="6" t="str">
        <f t="shared" si="17"/>
        <v/>
      </c>
      <c r="F254" t="str">
        <f t="shared" si="18"/>
        <v/>
      </c>
      <c r="G254" t="str">
        <f t="shared" si="19"/>
        <v/>
      </c>
      <c r="H254" t="str">
        <f t="shared" si="20"/>
        <v/>
      </c>
      <c r="K254" s="5"/>
      <c r="U254" s="5"/>
      <c r="AD254" s="5"/>
      <c r="AR254" s="5"/>
      <c r="BA254" s="35"/>
      <c r="BO254" s="5"/>
      <c r="BS254" s="5"/>
      <c r="BW254" s="5"/>
      <c r="CA254" s="5"/>
      <c r="CE254" s="5"/>
      <c r="CI254" s="5"/>
    </row>
    <row r="255" spans="4:87" x14ac:dyDescent="0.25">
      <c r="D255" s="7" t="str">
        <f t="shared" si="16"/>
        <v/>
      </c>
      <c r="E255" s="6" t="str">
        <f t="shared" si="17"/>
        <v/>
      </c>
      <c r="F255" t="str">
        <f t="shared" si="18"/>
        <v/>
      </c>
      <c r="G255" t="str">
        <f t="shared" si="19"/>
        <v/>
      </c>
      <c r="H255" t="str">
        <f t="shared" si="20"/>
        <v/>
      </c>
      <c r="K255" s="5"/>
      <c r="U255" s="5"/>
      <c r="AD255" s="5"/>
      <c r="AR255" s="5"/>
      <c r="BA255" s="35"/>
      <c r="BO255" s="5"/>
      <c r="BS255" s="5"/>
      <c r="BW255" s="5"/>
      <c r="CA255" s="5"/>
      <c r="CE255" s="5"/>
      <c r="CI255" s="5"/>
    </row>
    <row r="256" spans="4:87" x14ac:dyDescent="0.25">
      <c r="D256" s="7" t="str">
        <f t="shared" si="16"/>
        <v/>
      </c>
      <c r="E256" s="6" t="str">
        <f t="shared" si="17"/>
        <v/>
      </c>
      <c r="F256" t="str">
        <f t="shared" si="18"/>
        <v/>
      </c>
      <c r="G256" t="str">
        <f t="shared" si="19"/>
        <v/>
      </c>
      <c r="H256" t="str">
        <f t="shared" si="20"/>
        <v/>
      </c>
      <c r="K256" s="5"/>
      <c r="U256" s="5"/>
      <c r="AD256" s="5"/>
      <c r="AR256" s="5"/>
      <c r="BA256" s="35"/>
      <c r="BO256" s="5"/>
      <c r="BS256" s="5"/>
      <c r="BW256" s="5"/>
      <c r="CA256" s="5"/>
      <c r="CE256" s="5"/>
      <c r="CI256" s="5"/>
    </row>
    <row r="257" spans="4:87" x14ac:dyDescent="0.25">
      <c r="D257" s="7" t="str">
        <f t="shared" si="16"/>
        <v/>
      </c>
      <c r="E257" s="6" t="str">
        <f t="shared" si="17"/>
        <v/>
      </c>
      <c r="F257" t="str">
        <f t="shared" si="18"/>
        <v/>
      </c>
      <c r="G257" t="str">
        <f t="shared" si="19"/>
        <v/>
      </c>
      <c r="H257" t="str">
        <f t="shared" si="20"/>
        <v/>
      </c>
      <c r="K257" s="5"/>
      <c r="U257" s="5"/>
      <c r="AD257" s="5"/>
      <c r="AR257" s="5"/>
      <c r="BA257" s="35"/>
      <c r="BO257" s="5"/>
      <c r="BS257" s="5"/>
      <c r="BW257" s="5"/>
      <c r="CA257" s="5"/>
      <c r="CE257" s="5"/>
      <c r="CI257" s="5"/>
    </row>
    <row r="258" spans="4:87" x14ac:dyDescent="0.25">
      <c r="D258" s="7" t="str">
        <f t="shared" si="16"/>
        <v/>
      </c>
      <c r="E258" s="6" t="str">
        <f t="shared" si="17"/>
        <v/>
      </c>
      <c r="F258" t="str">
        <f t="shared" si="18"/>
        <v/>
      </c>
      <c r="G258" t="str">
        <f t="shared" si="19"/>
        <v/>
      </c>
      <c r="H258" t="str">
        <f t="shared" si="20"/>
        <v/>
      </c>
      <c r="K258" s="5"/>
      <c r="U258" s="5"/>
      <c r="AD258" s="5"/>
      <c r="AR258" s="5"/>
      <c r="BA258" s="35"/>
      <c r="BO258" s="5"/>
      <c r="BS258" s="5"/>
      <c r="BW258" s="5"/>
      <c r="CA258" s="5"/>
      <c r="CE258" s="5"/>
      <c r="CI258" s="5"/>
    </row>
    <row r="259" spans="4:87" x14ac:dyDescent="0.25">
      <c r="D259" s="7" t="str">
        <f t="shared" si="16"/>
        <v/>
      </c>
      <c r="E259" s="6" t="str">
        <f t="shared" si="17"/>
        <v/>
      </c>
      <c r="F259" t="str">
        <f t="shared" si="18"/>
        <v/>
      </c>
      <c r="G259" t="str">
        <f t="shared" si="19"/>
        <v/>
      </c>
      <c r="H259" t="str">
        <f t="shared" si="20"/>
        <v/>
      </c>
      <c r="K259" s="5"/>
      <c r="U259" s="5"/>
      <c r="AD259" s="5"/>
      <c r="AR259" s="5"/>
      <c r="BA259" s="35"/>
      <c r="BO259" s="5"/>
      <c r="BS259" s="5"/>
      <c r="BW259" s="5"/>
      <c r="CA259" s="5"/>
      <c r="CE259" s="5"/>
      <c r="CI259" s="5"/>
    </row>
    <row r="260" spans="4:87" x14ac:dyDescent="0.25">
      <c r="D260" s="7" t="str">
        <f t="shared" si="16"/>
        <v/>
      </c>
      <c r="E260" s="6" t="str">
        <f t="shared" si="17"/>
        <v/>
      </c>
      <c r="F260" t="str">
        <f t="shared" si="18"/>
        <v/>
      </c>
      <c r="G260" t="str">
        <f t="shared" si="19"/>
        <v/>
      </c>
      <c r="H260" t="str">
        <f t="shared" si="20"/>
        <v/>
      </c>
      <c r="K260" s="5"/>
      <c r="U260" s="5"/>
      <c r="AD260" s="5"/>
      <c r="AR260" s="5"/>
      <c r="BA260" s="35"/>
      <c r="BO260" s="5"/>
      <c r="BS260" s="5"/>
      <c r="BW260" s="5"/>
      <c r="CA260" s="5"/>
      <c r="CE260" s="5"/>
      <c r="CI260" s="5"/>
    </row>
    <row r="261" spans="4:87" x14ac:dyDescent="0.25">
      <c r="D261" s="7" t="str">
        <f t="shared" si="16"/>
        <v/>
      </c>
      <c r="E261" s="6" t="str">
        <f t="shared" si="17"/>
        <v/>
      </c>
      <c r="F261" t="str">
        <f t="shared" si="18"/>
        <v/>
      </c>
      <c r="G261" t="str">
        <f t="shared" si="19"/>
        <v/>
      </c>
      <c r="H261" t="str">
        <f t="shared" si="20"/>
        <v/>
      </c>
      <c r="K261" s="5"/>
      <c r="U261" s="5"/>
      <c r="AD261" s="5"/>
      <c r="AR261" s="5"/>
      <c r="BA261" s="35"/>
      <c r="BO261" s="5"/>
      <c r="BS261" s="5"/>
      <c r="BW261" s="5"/>
      <c r="CA261" s="5"/>
      <c r="CE261" s="5"/>
      <c r="CI261" s="5"/>
    </row>
    <row r="262" spans="4:87" x14ac:dyDescent="0.25">
      <c r="D262" s="7" t="str">
        <f t="shared" si="16"/>
        <v/>
      </c>
      <c r="E262" s="6" t="str">
        <f t="shared" si="17"/>
        <v/>
      </c>
      <c r="F262" t="str">
        <f t="shared" si="18"/>
        <v/>
      </c>
      <c r="G262" t="str">
        <f t="shared" si="19"/>
        <v/>
      </c>
      <c r="H262" t="str">
        <f t="shared" si="20"/>
        <v/>
      </c>
      <c r="K262" s="5"/>
      <c r="U262" s="5"/>
      <c r="AD262" s="5"/>
      <c r="AR262" s="5"/>
      <c r="BA262" s="35"/>
      <c r="BO262" s="5"/>
      <c r="BS262" s="5"/>
      <c r="BW262" s="5"/>
      <c r="CA262" s="5"/>
      <c r="CE262" s="5"/>
      <c r="CI262" s="5"/>
    </row>
    <row r="263" spans="4:87" x14ac:dyDescent="0.25">
      <c r="D263" s="7" t="str">
        <f t="shared" si="16"/>
        <v/>
      </c>
      <c r="E263" s="6" t="str">
        <f t="shared" si="17"/>
        <v/>
      </c>
      <c r="F263" t="str">
        <f t="shared" si="18"/>
        <v/>
      </c>
      <c r="G263" t="str">
        <f t="shared" si="19"/>
        <v/>
      </c>
      <c r="H263" t="str">
        <f t="shared" si="20"/>
        <v/>
      </c>
      <c r="K263" s="5"/>
      <c r="U263" s="5"/>
      <c r="AD263" s="5"/>
      <c r="AR263" s="5"/>
      <c r="BA263" s="35"/>
      <c r="BO263" s="5"/>
      <c r="BS263" s="5"/>
      <c r="BW263" s="5"/>
      <c r="CA263" s="5"/>
      <c r="CE263" s="5"/>
      <c r="CI263" s="5"/>
    </row>
    <row r="264" spans="4:87" x14ac:dyDescent="0.25">
      <c r="D264" s="7" t="str">
        <f t="shared" ref="D264:D327" si="21">IF(K264&lt;&gt;"",1+INT((K264-(DATE(YEAR(K264),1,2)-WEEKDAY(DATE(YEAR(K264),1,1))))/7),"")</f>
        <v/>
      </c>
      <c r="E264" s="6" t="str">
        <f t="shared" ref="E264:E327" si="22">IF(K264&lt;&gt;"",TEXT(K264,"ddd"),"")</f>
        <v/>
      </c>
      <c r="F264" t="str">
        <f t="shared" ref="F264:F327" si="23">IF(K264&lt;&gt;"",MONTH(K264),"")</f>
        <v/>
      </c>
      <c r="G264" t="str">
        <f t="shared" ref="G264:G327" si="24">IF(K264&lt;&gt;"",DAY(K264),"")</f>
        <v/>
      </c>
      <c r="H264" t="str">
        <f t="shared" ref="H264:H327" si="25">IF(K264&lt;&gt;"",YEAR(K264),"")</f>
        <v/>
      </c>
      <c r="K264" s="5"/>
      <c r="U264" s="5"/>
      <c r="AD264" s="5"/>
      <c r="AR264" s="5"/>
      <c r="BA264" s="35"/>
      <c r="BO264" s="5"/>
      <c r="BS264" s="5"/>
      <c r="BW264" s="5"/>
      <c r="CA264" s="5"/>
      <c r="CE264" s="5"/>
      <c r="CI264" s="5"/>
    </row>
    <row r="265" spans="4:87" x14ac:dyDescent="0.25">
      <c r="D265" s="7" t="str">
        <f t="shared" si="21"/>
        <v/>
      </c>
      <c r="E265" s="6" t="str">
        <f t="shared" si="22"/>
        <v/>
      </c>
      <c r="F265" t="str">
        <f t="shared" si="23"/>
        <v/>
      </c>
      <c r="G265" t="str">
        <f t="shared" si="24"/>
        <v/>
      </c>
      <c r="H265" t="str">
        <f t="shared" si="25"/>
        <v/>
      </c>
      <c r="K265" s="5"/>
      <c r="U265" s="5"/>
      <c r="AD265" s="5"/>
      <c r="AR265" s="5"/>
      <c r="BA265" s="35"/>
      <c r="BO265" s="5"/>
      <c r="BS265" s="5"/>
      <c r="BW265" s="5"/>
      <c r="CA265" s="5"/>
      <c r="CE265" s="5"/>
      <c r="CI265" s="5"/>
    </row>
    <row r="266" spans="4:87" x14ac:dyDescent="0.25">
      <c r="D266" s="7" t="str">
        <f t="shared" si="21"/>
        <v/>
      </c>
      <c r="E266" s="6" t="str">
        <f t="shared" si="22"/>
        <v/>
      </c>
      <c r="F266" t="str">
        <f t="shared" si="23"/>
        <v/>
      </c>
      <c r="G266" t="str">
        <f t="shared" si="24"/>
        <v/>
      </c>
      <c r="H266" t="str">
        <f t="shared" si="25"/>
        <v/>
      </c>
      <c r="K266" s="5"/>
      <c r="U266" s="5"/>
      <c r="AD266" s="5"/>
      <c r="AR266" s="5"/>
      <c r="BA266" s="35"/>
      <c r="BO266" s="5"/>
      <c r="BS266" s="5"/>
      <c r="BW266" s="5"/>
      <c r="CA266" s="5"/>
      <c r="CE266" s="5"/>
      <c r="CI266" s="5"/>
    </row>
    <row r="267" spans="4:87" x14ac:dyDescent="0.25">
      <c r="D267" s="7" t="str">
        <f t="shared" si="21"/>
        <v/>
      </c>
      <c r="E267" s="6" t="str">
        <f t="shared" si="22"/>
        <v/>
      </c>
      <c r="F267" t="str">
        <f t="shared" si="23"/>
        <v/>
      </c>
      <c r="G267" t="str">
        <f t="shared" si="24"/>
        <v/>
      </c>
      <c r="H267" t="str">
        <f t="shared" si="25"/>
        <v/>
      </c>
      <c r="K267" s="5"/>
      <c r="U267" s="5"/>
      <c r="AD267" s="5"/>
      <c r="AR267" s="5"/>
      <c r="BA267" s="35"/>
      <c r="BO267" s="5"/>
      <c r="BS267" s="5"/>
      <c r="BW267" s="5"/>
      <c r="CA267" s="5"/>
      <c r="CE267" s="5"/>
      <c r="CI267" s="5"/>
    </row>
    <row r="268" spans="4:87" x14ac:dyDescent="0.25">
      <c r="D268" s="7" t="str">
        <f t="shared" si="21"/>
        <v/>
      </c>
      <c r="E268" s="6" t="str">
        <f t="shared" si="22"/>
        <v/>
      </c>
      <c r="F268" t="str">
        <f t="shared" si="23"/>
        <v/>
      </c>
      <c r="G268" t="str">
        <f t="shared" si="24"/>
        <v/>
      </c>
      <c r="H268" t="str">
        <f t="shared" si="25"/>
        <v/>
      </c>
      <c r="K268" s="5"/>
      <c r="U268" s="5"/>
      <c r="AD268" s="5"/>
      <c r="AR268" s="5"/>
      <c r="BA268" s="35"/>
      <c r="BO268" s="5"/>
      <c r="BS268" s="5"/>
      <c r="BW268" s="5"/>
      <c r="CA268" s="5"/>
      <c r="CE268" s="5"/>
      <c r="CI268" s="5"/>
    </row>
    <row r="269" spans="4:87" x14ac:dyDescent="0.25">
      <c r="D269" s="7" t="str">
        <f t="shared" si="21"/>
        <v/>
      </c>
      <c r="E269" s="6" t="str">
        <f t="shared" si="22"/>
        <v/>
      </c>
      <c r="F269" t="str">
        <f t="shared" si="23"/>
        <v/>
      </c>
      <c r="G269" t="str">
        <f t="shared" si="24"/>
        <v/>
      </c>
      <c r="H269" t="str">
        <f t="shared" si="25"/>
        <v/>
      </c>
      <c r="K269" s="5"/>
      <c r="U269" s="5"/>
      <c r="AD269" s="5"/>
      <c r="AR269" s="5"/>
      <c r="BA269" s="35"/>
      <c r="BO269" s="5"/>
      <c r="BS269" s="5"/>
      <c r="BW269" s="5"/>
      <c r="CA269" s="5"/>
      <c r="CE269" s="5"/>
      <c r="CI269" s="5"/>
    </row>
    <row r="270" spans="4:87" x14ac:dyDescent="0.25">
      <c r="D270" s="7" t="str">
        <f t="shared" si="21"/>
        <v/>
      </c>
      <c r="E270" s="6" t="str">
        <f t="shared" si="22"/>
        <v/>
      </c>
      <c r="F270" t="str">
        <f t="shared" si="23"/>
        <v/>
      </c>
      <c r="G270" t="str">
        <f t="shared" si="24"/>
        <v/>
      </c>
      <c r="H270" t="str">
        <f t="shared" si="25"/>
        <v/>
      </c>
      <c r="K270" s="5"/>
      <c r="U270" s="5"/>
      <c r="AD270" s="5"/>
      <c r="AR270" s="5"/>
      <c r="BA270" s="35"/>
      <c r="BO270" s="5"/>
      <c r="BS270" s="5"/>
      <c r="BW270" s="5"/>
      <c r="CA270" s="5"/>
      <c r="CE270" s="5"/>
      <c r="CI270" s="5"/>
    </row>
    <row r="271" spans="4:87" x14ac:dyDescent="0.25">
      <c r="D271" s="7" t="str">
        <f t="shared" si="21"/>
        <v/>
      </c>
      <c r="E271" s="6" t="str">
        <f t="shared" si="22"/>
        <v/>
      </c>
      <c r="F271" t="str">
        <f t="shared" si="23"/>
        <v/>
      </c>
      <c r="G271" t="str">
        <f t="shared" si="24"/>
        <v/>
      </c>
      <c r="H271" t="str">
        <f t="shared" si="25"/>
        <v/>
      </c>
      <c r="K271" s="5"/>
      <c r="U271" s="5"/>
      <c r="AD271" s="5"/>
      <c r="AR271" s="5"/>
      <c r="BA271" s="35"/>
      <c r="BO271" s="5"/>
      <c r="BS271" s="5"/>
      <c r="BW271" s="5"/>
      <c r="CA271" s="5"/>
      <c r="CE271" s="5"/>
      <c r="CI271" s="5"/>
    </row>
    <row r="272" spans="4:87" x14ac:dyDescent="0.25">
      <c r="D272" s="7" t="str">
        <f t="shared" si="21"/>
        <v/>
      </c>
      <c r="E272" s="6" t="str">
        <f t="shared" si="22"/>
        <v/>
      </c>
      <c r="F272" t="str">
        <f t="shared" si="23"/>
        <v/>
      </c>
      <c r="G272" t="str">
        <f t="shared" si="24"/>
        <v/>
      </c>
      <c r="H272" t="str">
        <f t="shared" si="25"/>
        <v/>
      </c>
      <c r="K272" s="5"/>
      <c r="U272" s="5"/>
      <c r="AD272" s="5"/>
      <c r="AR272" s="5"/>
      <c r="BA272" s="35"/>
      <c r="BO272" s="5"/>
      <c r="BS272" s="5"/>
      <c r="BW272" s="5"/>
      <c r="CA272" s="5"/>
      <c r="CE272" s="5"/>
      <c r="CI272" s="5"/>
    </row>
    <row r="273" spans="4:87" x14ac:dyDescent="0.25">
      <c r="D273" s="7" t="str">
        <f t="shared" si="21"/>
        <v/>
      </c>
      <c r="E273" s="6" t="str">
        <f t="shared" si="22"/>
        <v/>
      </c>
      <c r="F273" t="str">
        <f t="shared" si="23"/>
        <v/>
      </c>
      <c r="G273" t="str">
        <f t="shared" si="24"/>
        <v/>
      </c>
      <c r="H273" t="str">
        <f t="shared" si="25"/>
        <v/>
      </c>
      <c r="K273" s="5"/>
      <c r="U273" s="5"/>
      <c r="AD273" s="5"/>
      <c r="AR273" s="5"/>
      <c r="BA273" s="35"/>
      <c r="BO273" s="5"/>
      <c r="BS273" s="5"/>
      <c r="BW273" s="5"/>
      <c r="CA273" s="5"/>
      <c r="CE273" s="5"/>
      <c r="CI273" s="5"/>
    </row>
    <row r="274" spans="4:87" x14ac:dyDescent="0.25">
      <c r="D274" s="7" t="str">
        <f t="shared" si="21"/>
        <v/>
      </c>
      <c r="E274" s="6" t="str">
        <f t="shared" si="22"/>
        <v/>
      </c>
      <c r="F274" t="str">
        <f t="shared" si="23"/>
        <v/>
      </c>
      <c r="G274" t="str">
        <f t="shared" si="24"/>
        <v/>
      </c>
      <c r="H274" t="str">
        <f t="shared" si="25"/>
        <v/>
      </c>
      <c r="K274" s="5"/>
      <c r="U274" s="5"/>
      <c r="AD274" s="5"/>
      <c r="AR274" s="5"/>
      <c r="BA274" s="35"/>
      <c r="BO274" s="5"/>
      <c r="BS274" s="5"/>
      <c r="BW274" s="5"/>
      <c r="CA274" s="5"/>
      <c r="CE274" s="5"/>
      <c r="CI274" s="5"/>
    </row>
    <row r="275" spans="4:87" x14ac:dyDescent="0.25">
      <c r="D275" s="7" t="str">
        <f t="shared" si="21"/>
        <v/>
      </c>
      <c r="E275" s="6" t="str">
        <f t="shared" si="22"/>
        <v/>
      </c>
      <c r="F275" t="str">
        <f t="shared" si="23"/>
        <v/>
      </c>
      <c r="G275" t="str">
        <f t="shared" si="24"/>
        <v/>
      </c>
      <c r="H275" t="str">
        <f t="shared" si="25"/>
        <v/>
      </c>
      <c r="K275" s="5"/>
      <c r="U275" s="5"/>
      <c r="AD275" s="5"/>
      <c r="AR275" s="5"/>
      <c r="BA275" s="35"/>
      <c r="BO275" s="5"/>
      <c r="BS275" s="5"/>
      <c r="BW275" s="5"/>
      <c r="CA275" s="5"/>
      <c r="CE275" s="5"/>
      <c r="CI275" s="5"/>
    </row>
    <row r="276" spans="4:87" x14ac:dyDescent="0.25">
      <c r="D276" s="7" t="str">
        <f t="shared" si="21"/>
        <v/>
      </c>
      <c r="E276" s="6" t="str">
        <f t="shared" si="22"/>
        <v/>
      </c>
      <c r="F276" t="str">
        <f t="shared" si="23"/>
        <v/>
      </c>
      <c r="G276" t="str">
        <f t="shared" si="24"/>
        <v/>
      </c>
      <c r="H276" t="str">
        <f t="shared" si="25"/>
        <v/>
      </c>
      <c r="K276" s="5"/>
      <c r="U276" s="5"/>
      <c r="AD276" s="5"/>
      <c r="AR276" s="5"/>
      <c r="BA276" s="35"/>
      <c r="BO276" s="5"/>
      <c r="BS276" s="5"/>
      <c r="BW276" s="5"/>
      <c r="CA276" s="5"/>
      <c r="CE276" s="5"/>
      <c r="CI276" s="5"/>
    </row>
    <row r="277" spans="4:87" x14ac:dyDescent="0.25">
      <c r="D277" s="7" t="str">
        <f t="shared" si="21"/>
        <v/>
      </c>
      <c r="E277" s="6" t="str">
        <f t="shared" si="22"/>
        <v/>
      </c>
      <c r="F277" t="str">
        <f t="shared" si="23"/>
        <v/>
      </c>
      <c r="G277" t="str">
        <f t="shared" si="24"/>
        <v/>
      </c>
      <c r="H277" t="str">
        <f t="shared" si="25"/>
        <v/>
      </c>
      <c r="K277" s="5"/>
      <c r="U277" s="5"/>
      <c r="AD277" s="5"/>
      <c r="AR277" s="5"/>
      <c r="BA277" s="35"/>
      <c r="BO277" s="5"/>
      <c r="BS277" s="5"/>
      <c r="BW277" s="5"/>
      <c r="CA277" s="5"/>
      <c r="CE277" s="5"/>
      <c r="CI277" s="5"/>
    </row>
    <row r="278" spans="4:87" x14ac:dyDescent="0.25">
      <c r="D278" s="7" t="str">
        <f t="shared" si="21"/>
        <v/>
      </c>
      <c r="E278" s="6" t="str">
        <f t="shared" si="22"/>
        <v/>
      </c>
      <c r="F278" t="str">
        <f t="shared" si="23"/>
        <v/>
      </c>
      <c r="G278" t="str">
        <f t="shared" si="24"/>
        <v/>
      </c>
      <c r="H278" t="str">
        <f t="shared" si="25"/>
        <v/>
      </c>
      <c r="K278" s="5"/>
      <c r="U278" s="5"/>
      <c r="AD278" s="5"/>
      <c r="AR278" s="5"/>
      <c r="BA278" s="35"/>
      <c r="BO278" s="5"/>
      <c r="BS278" s="5"/>
      <c r="BW278" s="5"/>
      <c r="CA278" s="5"/>
      <c r="CE278" s="5"/>
      <c r="CI278" s="5"/>
    </row>
    <row r="279" spans="4:87" x14ac:dyDescent="0.25">
      <c r="D279" s="7" t="str">
        <f t="shared" si="21"/>
        <v/>
      </c>
      <c r="E279" s="6" t="str">
        <f t="shared" si="22"/>
        <v/>
      </c>
      <c r="F279" t="str">
        <f t="shared" si="23"/>
        <v/>
      </c>
      <c r="G279" t="str">
        <f t="shared" si="24"/>
        <v/>
      </c>
      <c r="H279" t="str">
        <f t="shared" si="25"/>
        <v/>
      </c>
      <c r="K279" s="5"/>
      <c r="U279" s="5"/>
      <c r="AD279" s="5"/>
      <c r="AR279" s="5"/>
      <c r="BA279" s="35"/>
      <c r="BO279" s="5"/>
      <c r="BS279" s="5"/>
      <c r="BW279" s="5"/>
      <c r="CA279" s="5"/>
      <c r="CE279" s="5"/>
      <c r="CI279" s="5"/>
    </row>
    <row r="280" spans="4:87" x14ac:dyDescent="0.25">
      <c r="D280" s="7" t="str">
        <f t="shared" si="21"/>
        <v/>
      </c>
      <c r="E280" s="6" t="str">
        <f t="shared" si="22"/>
        <v/>
      </c>
      <c r="F280" t="str">
        <f t="shared" si="23"/>
        <v/>
      </c>
      <c r="G280" t="str">
        <f t="shared" si="24"/>
        <v/>
      </c>
      <c r="H280" t="str">
        <f t="shared" si="25"/>
        <v/>
      </c>
      <c r="K280" s="5"/>
      <c r="U280" s="5"/>
      <c r="AD280" s="5"/>
      <c r="AR280" s="5"/>
      <c r="BA280" s="35"/>
      <c r="BO280" s="5"/>
      <c r="BS280" s="5"/>
      <c r="BW280" s="5"/>
      <c r="CA280" s="5"/>
      <c r="CE280" s="5"/>
      <c r="CI280" s="5"/>
    </row>
    <row r="281" spans="4:87" x14ac:dyDescent="0.25">
      <c r="D281" s="7" t="str">
        <f t="shared" si="21"/>
        <v/>
      </c>
      <c r="E281" s="6" t="str">
        <f t="shared" si="22"/>
        <v/>
      </c>
      <c r="F281" t="str">
        <f t="shared" si="23"/>
        <v/>
      </c>
      <c r="G281" t="str">
        <f t="shared" si="24"/>
        <v/>
      </c>
      <c r="H281" t="str">
        <f t="shared" si="25"/>
        <v/>
      </c>
      <c r="K281" s="5"/>
      <c r="U281" s="5"/>
      <c r="AD281" s="5"/>
      <c r="AR281" s="5"/>
      <c r="BA281" s="35"/>
      <c r="BO281" s="5"/>
      <c r="BS281" s="5"/>
      <c r="BW281" s="5"/>
      <c r="CA281" s="5"/>
      <c r="CE281" s="5"/>
      <c r="CI281" s="5"/>
    </row>
    <row r="282" spans="4:87" x14ac:dyDescent="0.25">
      <c r="D282" s="7" t="str">
        <f t="shared" si="21"/>
        <v/>
      </c>
      <c r="E282" s="6" t="str">
        <f t="shared" si="22"/>
        <v/>
      </c>
      <c r="F282" t="str">
        <f t="shared" si="23"/>
        <v/>
      </c>
      <c r="G282" t="str">
        <f t="shared" si="24"/>
        <v/>
      </c>
      <c r="H282" t="str">
        <f t="shared" si="25"/>
        <v/>
      </c>
      <c r="K282" s="5"/>
      <c r="U282" s="5"/>
      <c r="AD282" s="5"/>
      <c r="AR282" s="5"/>
      <c r="BA282" s="35"/>
      <c r="BO282" s="5"/>
      <c r="BS282" s="5"/>
      <c r="BW282" s="5"/>
      <c r="CA282" s="5"/>
      <c r="CE282" s="5"/>
      <c r="CI282" s="5"/>
    </row>
    <row r="283" spans="4:87" x14ac:dyDescent="0.25">
      <c r="D283" s="7" t="str">
        <f t="shared" si="21"/>
        <v/>
      </c>
      <c r="E283" s="6" t="str">
        <f t="shared" si="22"/>
        <v/>
      </c>
      <c r="F283" t="str">
        <f t="shared" si="23"/>
        <v/>
      </c>
      <c r="G283" t="str">
        <f t="shared" si="24"/>
        <v/>
      </c>
      <c r="H283" t="str">
        <f t="shared" si="25"/>
        <v/>
      </c>
      <c r="K283" s="5"/>
      <c r="U283" s="5"/>
      <c r="AD283" s="5"/>
      <c r="AR283" s="5"/>
      <c r="BA283" s="35"/>
      <c r="BO283" s="5"/>
      <c r="BS283" s="5"/>
      <c r="BW283" s="5"/>
      <c r="CA283" s="5"/>
      <c r="CE283" s="5"/>
      <c r="CI283" s="5"/>
    </row>
    <row r="284" spans="4:87" x14ac:dyDescent="0.25">
      <c r="D284" s="7" t="str">
        <f t="shared" si="21"/>
        <v/>
      </c>
      <c r="E284" s="6" t="str">
        <f t="shared" si="22"/>
        <v/>
      </c>
      <c r="F284" t="str">
        <f t="shared" si="23"/>
        <v/>
      </c>
      <c r="G284" t="str">
        <f t="shared" si="24"/>
        <v/>
      </c>
      <c r="H284" t="str">
        <f t="shared" si="25"/>
        <v/>
      </c>
      <c r="K284" s="5"/>
      <c r="U284" s="5"/>
      <c r="AD284" s="5"/>
      <c r="AR284" s="5"/>
      <c r="BA284" s="35"/>
      <c r="BO284" s="5"/>
      <c r="BS284" s="5"/>
      <c r="BW284" s="5"/>
      <c r="CA284" s="5"/>
      <c r="CE284" s="5"/>
      <c r="CI284" s="5"/>
    </row>
    <row r="285" spans="4:87" x14ac:dyDescent="0.25">
      <c r="D285" s="7" t="str">
        <f t="shared" si="21"/>
        <v/>
      </c>
      <c r="E285" s="6" t="str">
        <f t="shared" si="22"/>
        <v/>
      </c>
      <c r="F285" t="str">
        <f t="shared" si="23"/>
        <v/>
      </c>
      <c r="G285" t="str">
        <f t="shared" si="24"/>
        <v/>
      </c>
      <c r="H285" t="str">
        <f t="shared" si="25"/>
        <v/>
      </c>
      <c r="K285" s="5"/>
      <c r="U285" s="5"/>
      <c r="AD285" s="5"/>
      <c r="AR285" s="5"/>
      <c r="BA285" s="35"/>
      <c r="BO285" s="5"/>
      <c r="BS285" s="5"/>
      <c r="BW285" s="5"/>
      <c r="CA285" s="5"/>
      <c r="CE285" s="5"/>
      <c r="CI285" s="5"/>
    </row>
    <row r="286" spans="4:87" x14ac:dyDescent="0.25">
      <c r="D286" s="7" t="str">
        <f t="shared" si="21"/>
        <v/>
      </c>
      <c r="E286" s="6" t="str">
        <f t="shared" si="22"/>
        <v/>
      </c>
      <c r="F286" t="str">
        <f t="shared" si="23"/>
        <v/>
      </c>
      <c r="G286" t="str">
        <f t="shared" si="24"/>
        <v/>
      </c>
      <c r="H286" t="str">
        <f t="shared" si="25"/>
        <v/>
      </c>
      <c r="K286" s="5"/>
      <c r="U286" s="5"/>
      <c r="AD286" s="5"/>
      <c r="AR286" s="5"/>
      <c r="BA286" s="35"/>
      <c r="BO286" s="5"/>
      <c r="BS286" s="5"/>
      <c r="BW286" s="5"/>
      <c r="CA286" s="5"/>
      <c r="CE286" s="5"/>
      <c r="CI286" s="5"/>
    </row>
    <row r="287" spans="4:87" x14ac:dyDescent="0.25">
      <c r="D287" s="7" t="str">
        <f t="shared" si="21"/>
        <v/>
      </c>
      <c r="E287" s="6" t="str">
        <f t="shared" si="22"/>
        <v/>
      </c>
      <c r="F287" t="str">
        <f t="shared" si="23"/>
        <v/>
      </c>
      <c r="G287" t="str">
        <f t="shared" si="24"/>
        <v/>
      </c>
      <c r="H287" t="str">
        <f t="shared" si="25"/>
        <v/>
      </c>
      <c r="K287" s="5"/>
      <c r="U287" s="5"/>
      <c r="AD287" s="5"/>
      <c r="AR287" s="5"/>
      <c r="BA287" s="35"/>
      <c r="BO287" s="5"/>
      <c r="BS287" s="5"/>
      <c r="BW287" s="5"/>
      <c r="CA287" s="5"/>
      <c r="CE287" s="5"/>
      <c r="CI287" s="5"/>
    </row>
    <row r="288" spans="4:87" x14ac:dyDescent="0.25">
      <c r="D288" s="7" t="str">
        <f t="shared" si="21"/>
        <v/>
      </c>
      <c r="E288" s="6" t="str">
        <f t="shared" si="22"/>
        <v/>
      </c>
      <c r="F288" t="str">
        <f t="shared" si="23"/>
        <v/>
      </c>
      <c r="G288" t="str">
        <f t="shared" si="24"/>
        <v/>
      </c>
      <c r="H288" t="str">
        <f t="shared" si="25"/>
        <v/>
      </c>
      <c r="K288" s="5"/>
      <c r="U288" s="5"/>
      <c r="AD288" s="5"/>
      <c r="AR288" s="5"/>
      <c r="BA288" s="35"/>
      <c r="BO288" s="5"/>
      <c r="BS288" s="5"/>
      <c r="BW288" s="5"/>
      <c r="CA288" s="5"/>
      <c r="CE288" s="5"/>
      <c r="CI288" s="5"/>
    </row>
    <row r="289" spans="4:87" x14ac:dyDescent="0.25">
      <c r="D289" s="7" t="str">
        <f t="shared" si="21"/>
        <v/>
      </c>
      <c r="E289" s="6" t="str">
        <f t="shared" si="22"/>
        <v/>
      </c>
      <c r="F289" t="str">
        <f t="shared" si="23"/>
        <v/>
      </c>
      <c r="G289" t="str">
        <f t="shared" si="24"/>
        <v/>
      </c>
      <c r="H289" t="str">
        <f t="shared" si="25"/>
        <v/>
      </c>
      <c r="K289" s="5"/>
      <c r="U289" s="5"/>
      <c r="AD289" s="5"/>
      <c r="AR289" s="5"/>
      <c r="BA289" s="35"/>
      <c r="BO289" s="5"/>
      <c r="BS289" s="5"/>
      <c r="BW289" s="5"/>
      <c r="CA289" s="5"/>
      <c r="CE289" s="5"/>
      <c r="CI289" s="5"/>
    </row>
    <row r="290" spans="4:87" x14ac:dyDescent="0.25">
      <c r="D290" s="7" t="str">
        <f t="shared" si="21"/>
        <v/>
      </c>
      <c r="E290" s="6" t="str">
        <f t="shared" si="22"/>
        <v/>
      </c>
      <c r="F290" t="str">
        <f t="shared" si="23"/>
        <v/>
      </c>
      <c r="G290" t="str">
        <f t="shared" si="24"/>
        <v/>
      </c>
      <c r="H290" t="str">
        <f t="shared" si="25"/>
        <v/>
      </c>
      <c r="K290" s="5"/>
      <c r="U290" s="5"/>
      <c r="AD290" s="5"/>
      <c r="AR290" s="5"/>
      <c r="BA290" s="35"/>
      <c r="BO290" s="5"/>
      <c r="BS290" s="5"/>
      <c r="BW290" s="5"/>
      <c r="CA290" s="5"/>
      <c r="CE290" s="5"/>
      <c r="CI290" s="5"/>
    </row>
    <row r="291" spans="4:87" x14ac:dyDescent="0.25">
      <c r="D291" s="7" t="str">
        <f t="shared" si="21"/>
        <v/>
      </c>
      <c r="E291" s="6" t="str">
        <f t="shared" si="22"/>
        <v/>
      </c>
      <c r="F291" t="str">
        <f t="shared" si="23"/>
        <v/>
      </c>
      <c r="G291" t="str">
        <f t="shared" si="24"/>
        <v/>
      </c>
      <c r="H291" t="str">
        <f t="shared" si="25"/>
        <v/>
      </c>
      <c r="K291" s="5"/>
      <c r="U291" s="5"/>
      <c r="AD291" s="5"/>
      <c r="AR291" s="5"/>
      <c r="BA291" s="35"/>
      <c r="BO291" s="5"/>
      <c r="BS291" s="5"/>
      <c r="BW291" s="5"/>
      <c r="CA291" s="5"/>
      <c r="CE291" s="5"/>
      <c r="CI291" s="5"/>
    </row>
    <row r="292" spans="4:87" x14ac:dyDescent="0.25">
      <c r="D292" s="7" t="str">
        <f t="shared" si="21"/>
        <v/>
      </c>
      <c r="E292" s="6" t="str">
        <f t="shared" si="22"/>
        <v/>
      </c>
      <c r="F292" t="str">
        <f t="shared" si="23"/>
        <v/>
      </c>
      <c r="G292" t="str">
        <f t="shared" si="24"/>
        <v/>
      </c>
      <c r="H292" t="str">
        <f t="shared" si="25"/>
        <v/>
      </c>
      <c r="K292" s="5"/>
      <c r="U292" s="5"/>
      <c r="AD292" s="5"/>
      <c r="AR292" s="5"/>
      <c r="BA292" s="35"/>
      <c r="BO292" s="5"/>
      <c r="BS292" s="5"/>
      <c r="BW292" s="5"/>
      <c r="CA292" s="5"/>
      <c r="CE292" s="5"/>
      <c r="CI292" s="5"/>
    </row>
    <row r="293" spans="4:87" x14ac:dyDescent="0.25">
      <c r="D293" s="7" t="str">
        <f t="shared" si="21"/>
        <v/>
      </c>
      <c r="E293" s="6" t="str">
        <f t="shared" si="22"/>
        <v/>
      </c>
      <c r="F293" t="str">
        <f t="shared" si="23"/>
        <v/>
      </c>
      <c r="G293" t="str">
        <f t="shared" si="24"/>
        <v/>
      </c>
      <c r="H293" t="str">
        <f t="shared" si="25"/>
        <v/>
      </c>
      <c r="K293" s="5"/>
      <c r="U293" s="5"/>
      <c r="AD293" s="5"/>
      <c r="AR293" s="5"/>
      <c r="BA293" s="35"/>
      <c r="BO293" s="5"/>
      <c r="BS293" s="5"/>
      <c r="BW293" s="5"/>
      <c r="CA293" s="5"/>
      <c r="CE293" s="5"/>
      <c r="CI293" s="5"/>
    </row>
    <row r="294" spans="4:87" x14ac:dyDescent="0.25">
      <c r="D294" s="7" t="str">
        <f t="shared" si="21"/>
        <v/>
      </c>
      <c r="E294" s="6" t="str">
        <f t="shared" si="22"/>
        <v/>
      </c>
      <c r="F294" t="str">
        <f t="shared" si="23"/>
        <v/>
      </c>
      <c r="G294" t="str">
        <f t="shared" si="24"/>
        <v/>
      </c>
      <c r="H294" t="str">
        <f t="shared" si="25"/>
        <v/>
      </c>
      <c r="K294" s="5"/>
      <c r="U294" s="5"/>
      <c r="AD294" s="5"/>
      <c r="AR294" s="5"/>
      <c r="BA294" s="35"/>
      <c r="BO294" s="5"/>
      <c r="BS294" s="5"/>
      <c r="BW294" s="5"/>
      <c r="CA294" s="5"/>
      <c r="CE294" s="5"/>
      <c r="CI294" s="5"/>
    </row>
    <row r="295" spans="4:87" x14ac:dyDescent="0.25">
      <c r="D295" s="7" t="str">
        <f t="shared" si="21"/>
        <v/>
      </c>
      <c r="E295" s="6" t="str">
        <f t="shared" si="22"/>
        <v/>
      </c>
      <c r="F295" t="str">
        <f t="shared" si="23"/>
        <v/>
      </c>
      <c r="G295" t="str">
        <f t="shared" si="24"/>
        <v/>
      </c>
      <c r="H295" t="str">
        <f t="shared" si="25"/>
        <v/>
      </c>
      <c r="K295" s="5"/>
      <c r="U295" s="5"/>
      <c r="AD295" s="5"/>
      <c r="AR295" s="5"/>
      <c r="BA295" s="35"/>
      <c r="BO295" s="5"/>
      <c r="BS295" s="5"/>
      <c r="BW295" s="5"/>
      <c r="CA295" s="5"/>
      <c r="CE295" s="5"/>
      <c r="CI295" s="5"/>
    </row>
    <row r="296" spans="4:87" x14ac:dyDescent="0.25">
      <c r="D296" s="7" t="str">
        <f t="shared" si="21"/>
        <v/>
      </c>
      <c r="E296" s="6" t="str">
        <f t="shared" si="22"/>
        <v/>
      </c>
      <c r="F296" t="str">
        <f t="shared" si="23"/>
        <v/>
      </c>
      <c r="G296" t="str">
        <f t="shared" si="24"/>
        <v/>
      </c>
      <c r="H296" t="str">
        <f t="shared" si="25"/>
        <v/>
      </c>
      <c r="K296" s="5"/>
      <c r="U296" s="5"/>
      <c r="AD296" s="5"/>
      <c r="AR296" s="5"/>
      <c r="BA296" s="35"/>
      <c r="BO296" s="5"/>
      <c r="BS296" s="5"/>
      <c r="BW296" s="5"/>
      <c r="CA296" s="5"/>
      <c r="CE296" s="5"/>
      <c r="CI296" s="5"/>
    </row>
    <row r="297" spans="4:87" x14ac:dyDescent="0.25">
      <c r="D297" s="7" t="str">
        <f t="shared" si="21"/>
        <v/>
      </c>
      <c r="E297" s="6" t="str">
        <f t="shared" si="22"/>
        <v/>
      </c>
      <c r="F297" t="str">
        <f t="shared" si="23"/>
        <v/>
      </c>
      <c r="G297" t="str">
        <f t="shared" si="24"/>
        <v/>
      </c>
      <c r="H297" t="str">
        <f t="shared" si="25"/>
        <v/>
      </c>
      <c r="K297" s="5"/>
      <c r="U297" s="5"/>
      <c r="AD297" s="5"/>
      <c r="AR297" s="5"/>
      <c r="BA297" s="35"/>
      <c r="BO297" s="5"/>
      <c r="BS297" s="5"/>
      <c r="BW297" s="5"/>
      <c r="CA297" s="5"/>
      <c r="CE297" s="5"/>
      <c r="CI297" s="5"/>
    </row>
    <row r="298" spans="4:87" x14ac:dyDescent="0.25">
      <c r="D298" s="7" t="str">
        <f t="shared" si="21"/>
        <v/>
      </c>
      <c r="E298" s="6" t="str">
        <f t="shared" si="22"/>
        <v/>
      </c>
      <c r="F298" t="str">
        <f t="shared" si="23"/>
        <v/>
      </c>
      <c r="G298" t="str">
        <f t="shared" si="24"/>
        <v/>
      </c>
      <c r="H298" t="str">
        <f t="shared" si="25"/>
        <v/>
      </c>
      <c r="K298" s="5"/>
      <c r="U298" s="5"/>
      <c r="AD298" s="5"/>
      <c r="AR298" s="5"/>
      <c r="BA298" s="35"/>
      <c r="BO298" s="5"/>
      <c r="BS298" s="5"/>
      <c r="BW298" s="5"/>
      <c r="CA298" s="5"/>
      <c r="CE298" s="5"/>
      <c r="CI298" s="5"/>
    </row>
    <row r="299" spans="4:87" x14ac:dyDescent="0.25">
      <c r="D299" s="7" t="str">
        <f t="shared" si="21"/>
        <v/>
      </c>
      <c r="E299" s="6" t="str">
        <f t="shared" si="22"/>
        <v/>
      </c>
      <c r="F299" t="str">
        <f t="shared" si="23"/>
        <v/>
      </c>
      <c r="G299" t="str">
        <f t="shared" si="24"/>
        <v/>
      </c>
      <c r="H299" t="str">
        <f t="shared" si="25"/>
        <v/>
      </c>
      <c r="K299" s="5"/>
      <c r="U299" s="5"/>
      <c r="AD299" s="5"/>
      <c r="AR299" s="5"/>
      <c r="BA299" s="35"/>
      <c r="BO299" s="5"/>
      <c r="BS299" s="5"/>
      <c r="BW299" s="5"/>
      <c r="CA299" s="5"/>
      <c r="CE299" s="5"/>
      <c r="CI299" s="5"/>
    </row>
    <row r="300" spans="4:87" x14ac:dyDescent="0.25">
      <c r="D300" s="7" t="str">
        <f t="shared" si="21"/>
        <v/>
      </c>
      <c r="E300" s="6" t="str">
        <f t="shared" si="22"/>
        <v/>
      </c>
      <c r="F300" t="str">
        <f t="shared" si="23"/>
        <v/>
      </c>
      <c r="G300" t="str">
        <f t="shared" si="24"/>
        <v/>
      </c>
      <c r="H300" t="str">
        <f t="shared" si="25"/>
        <v/>
      </c>
      <c r="K300" s="5"/>
      <c r="U300" s="5"/>
      <c r="AD300" s="5"/>
      <c r="AR300" s="5"/>
      <c r="BA300" s="35"/>
      <c r="BO300" s="5"/>
      <c r="BS300" s="5"/>
      <c r="BW300" s="5"/>
      <c r="CA300" s="5"/>
      <c r="CE300" s="5"/>
      <c r="CI300" s="5"/>
    </row>
    <row r="301" spans="4:87" x14ac:dyDescent="0.25">
      <c r="D301" s="7" t="str">
        <f t="shared" si="21"/>
        <v/>
      </c>
      <c r="E301" s="6" t="str">
        <f t="shared" si="22"/>
        <v/>
      </c>
      <c r="F301" t="str">
        <f t="shared" si="23"/>
        <v/>
      </c>
      <c r="G301" t="str">
        <f t="shared" si="24"/>
        <v/>
      </c>
      <c r="H301" t="str">
        <f t="shared" si="25"/>
        <v/>
      </c>
      <c r="K301" s="5"/>
      <c r="U301" s="5"/>
      <c r="AD301" s="5"/>
      <c r="AR301" s="5"/>
      <c r="BA301" s="35"/>
      <c r="BO301" s="5"/>
      <c r="BS301" s="5"/>
      <c r="BW301" s="5"/>
      <c r="CA301" s="5"/>
      <c r="CE301" s="5"/>
      <c r="CI301" s="5"/>
    </row>
    <row r="302" spans="4:87" x14ac:dyDescent="0.25">
      <c r="D302" s="7" t="str">
        <f t="shared" si="21"/>
        <v/>
      </c>
      <c r="E302" s="6" t="str">
        <f t="shared" si="22"/>
        <v/>
      </c>
      <c r="F302" t="str">
        <f t="shared" si="23"/>
        <v/>
      </c>
      <c r="G302" t="str">
        <f t="shared" si="24"/>
        <v/>
      </c>
      <c r="H302" t="str">
        <f t="shared" si="25"/>
        <v/>
      </c>
      <c r="K302" s="5"/>
      <c r="U302" s="5"/>
      <c r="AD302" s="5"/>
      <c r="AR302" s="5"/>
      <c r="BA302" s="35"/>
      <c r="BO302" s="5"/>
      <c r="BS302" s="5"/>
      <c r="BW302" s="5"/>
      <c r="CA302" s="5"/>
      <c r="CE302" s="5"/>
      <c r="CI302" s="5"/>
    </row>
    <row r="303" spans="4:87" x14ac:dyDescent="0.25">
      <c r="D303" s="7" t="str">
        <f t="shared" si="21"/>
        <v/>
      </c>
      <c r="E303" s="6" t="str">
        <f t="shared" si="22"/>
        <v/>
      </c>
      <c r="F303" t="str">
        <f t="shared" si="23"/>
        <v/>
      </c>
      <c r="G303" t="str">
        <f t="shared" si="24"/>
        <v/>
      </c>
      <c r="H303" t="str">
        <f t="shared" si="25"/>
        <v/>
      </c>
      <c r="K303" s="5"/>
      <c r="U303" s="5"/>
      <c r="AD303" s="5"/>
      <c r="AR303" s="5"/>
      <c r="BA303" s="35"/>
      <c r="BO303" s="5"/>
      <c r="BS303" s="5"/>
      <c r="BW303" s="5"/>
      <c r="CA303" s="5"/>
      <c r="CE303" s="5"/>
      <c r="CI303" s="5"/>
    </row>
    <row r="304" spans="4:87" x14ac:dyDescent="0.25">
      <c r="D304" s="7" t="str">
        <f t="shared" si="21"/>
        <v/>
      </c>
      <c r="E304" s="6" t="str">
        <f t="shared" si="22"/>
        <v/>
      </c>
      <c r="F304" t="str">
        <f t="shared" si="23"/>
        <v/>
      </c>
      <c r="G304" t="str">
        <f t="shared" si="24"/>
        <v/>
      </c>
      <c r="H304" t="str">
        <f t="shared" si="25"/>
        <v/>
      </c>
      <c r="K304" s="5"/>
      <c r="U304" s="5"/>
      <c r="AD304" s="5"/>
      <c r="AR304" s="5"/>
      <c r="BA304" s="35"/>
      <c r="BO304" s="5"/>
      <c r="BS304" s="5"/>
      <c r="BW304" s="5"/>
      <c r="CA304" s="5"/>
      <c r="CE304" s="5"/>
      <c r="CI304" s="5"/>
    </row>
    <row r="305" spans="4:87" x14ac:dyDescent="0.25">
      <c r="D305" s="7" t="str">
        <f t="shared" si="21"/>
        <v/>
      </c>
      <c r="E305" s="6" t="str">
        <f t="shared" si="22"/>
        <v/>
      </c>
      <c r="F305" t="str">
        <f t="shared" si="23"/>
        <v/>
      </c>
      <c r="G305" t="str">
        <f t="shared" si="24"/>
        <v/>
      </c>
      <c r="H305" t="str">
        <f t="shared" si="25"/>
        <v/>
      </c>
      <c r="K305" s="5"/>
      <c r="U305" s="5"/>
      <c r="AD305" s="5"/>
      <c r="AR305" s="5"/>
      <c r="BA305" s="35"/>
      <c r="BO305" s="5"/>
      <c r="BS305" s="5"/>
      <c r="BW305" s="5"/>
      <c r="CA305" s="5"/>
      <c r="CE305" s="5"/>
      <c r="CI305" s="5"/>
    </row>
    <row r="306" spans="4:87" x14ac:dyDescent="0.25">
      <c r="D306" s="7" t="str">
        <f t="shared" si="21"/>
        <v/>
      </c>
      <c r="E306" s="6" t="str">
        <f t="shared" si="22"/>
        <v/>
      </c>
      <c r="F306" t="str">
        <f t="shared" si="23"/>
        <v/>
      </c>
      <c r="G306" t="str">
        <f t="shared" si="24"/>
        <v/>
      </c>
      <c r="H306" t="str">
        <f t="shared" si="25"/>
        <v/>
      </c>
      <c r="K306" s="5"/>
      <c r="U306" s="5"/>
      <c r="AD306" s="5"/>
      <c r="AR306" s="5"/>
      <c r="BA306" s="35"/>
      <c r="BO306" s="5"/>
      <c r="BS306" s="5"/>
      <c r="BW306" s="5"/>
      <c r="CA306" s="5"/>
      <c r="CE306" s="5"/>
      <c r="CI306" s="5"/>
    </row>
    <row r="307" spans="4:87" x14ac:dyDescent="0.25">
      <c r="D307" s="7" t="str">
        <f t="shared" si="21"/>
        <v/>
      </c>
      <c r="E307" s="6" t="str">
        <f t="shared" si="22"/>
        <v/>
      </c>
      <c r="F307" t="str">
        <f t="shared" si="23"/>
        <v/>
      </c>
      <c r="G307" t="str">
        <f t="shared" si="24"/>
        <v/>
      </c>
      <c r="H307" t="str">
        <f t="shared" si="25"/>
        <v/>
      </c>
      <c r="K307" s="5"/>
      <c r="U307" s="5"/>
      <c r="AD307" s="5"/>
      <c r="AR307" s="5"/>
      <c r="BA307" s="35"/>
      <c r="BO307" s="5"/>
      <c r="BS307" s="5"/>
      <c r="BW307" s="5"/>
      <c r="CA307" s="5"/>
      <c r="CE307" s="5"/>
      <c r="CI307" s="5"/>
    </row>
    <row r="308" spans="4:87" x14ac:dyDescent="0.25">
      <c r="D308" s="7" t="str">
        <f t="shared" si="21"/>
        <v/>
      </c>
      <c r="E308" s="6" t="str">
        <f t="shared" si="22"/>
        <v/>
      </c>
      <c r="F308" t="str">
        <f t="shared" si="23"/>
        <v/>
      </c>
      <c r="G308" t="str">
        <f t="shared" si="24"/>
        <v/>
      </c>
      <c r="H308" t="str">
        <f t="shared" si="25"/>
        <v/>
      </c>
      <c r="K308" s="5"/>
      <c r="U308" s="5"/>
      <c r="AD308" s="5"/>
      <c r="AR308" s="5"/>
      <c r="BA308" s="35"/>
      <c r="BO308" s="5"/>
      <c r="BS308" s="5"/>
      <c r="BW308" s="5"/>
      <c r="CA308" s="5"/>
      <c r="CE308" s="5"/>
      <c r="CI308" s="5"/>
    </row>
    <row r="309" spans="4:87" x14ac:dyDescent="0.25">
      <c r="D309" s="7" t="str">
        <f t="shared" si="21"/>
        <v/>
      </c>
      <c r="E309" s="6" t="str">
        <f t="shared" si="22"/>
        <v/>
      </c>
      <c r="F309" t="str">
        <f t="shared" si="23"/>
        <v/>
      </c>
      <c r="G309" t="str">
        <f t="shared" si="24"/>
        <v/>
      </c>
      <c r="H309" t="str">
        <f t="shared" si="25"/>
        <v/>
      </c>
      <c r="K309" s="5"/>
      <c r="U309" s="5"/>
      <c r="AD309" s="5"/>
      <c r="AR309" s="5"/>
      <c r="BA309" s="35"/>
      <c r="BO309" s="5"/>
      <c r="BS309" s="5"/>
      <c r="BW309" s="5"/>
      <c r="CA309" s="5"/>
      <c r="CE309" s="5"/>
      <c r="CI309" s="5"/>
    </row>
    <row r="310" spans="4:87" x14ac:dyDescent="0.25">
      <c r="D310" s="7" t="str">
        <f t="shared" si="21"/>
        <v/>
      </c>
      <c r="E310" s="6" t="str">
        <f t="shared" si="22"/>
        <v/>
      </c>
      <c r="F310" t="str">
        <f t="shared" si="23"/>
        <v/>
      </c>
      <c r="G310" t="str">
        <f t="shared" si="24"/>
        <v/>
      </c>
      <c r="H310" t="str">
        <f t="shared" si="25"/>
        <v/>
      </c>
      <c r="K310" s="5"/>
      <c r="U310" s="5"/>
      <c r="AD310" s="5"/>
      <c r="AR310" s="5"/>
      <c r="BA310" s="35"/>
      <c r="BO310" s="5"/>
      <c r="BS310" s="5"/>
      <c r="BW310" s="5"/>
      <c r="CA310" s="5"/>
      <c r="CE310" s="5"/>
      <c r="CI310" s="5"/>
    </row>
    <row r="311" spans="4:87" x14ac:dyDescent="0.25">
      <c r="D311" s="7" t="str">
        <f t="shared" si="21"/>
        <v/>
      </c>
      <c r="E311" s="6" t="str">
        <f t="shared" si="22"/>
        <v/>
      </c>
      <c r="F311" t="str">
        <f t="shared" si="23"/>
        <v/>
      </c>
      <c r="G311" t="str">
        <f t="shared" si="24"/>
        <v/>
      </c>
      <c r="H311" t="str">
        <f t="shared" si="25"/>
        <v/>
      </c>
      <c r="K311" s="5"/>
      <c r="U311" s="5"/>
      <c r="AD311" s="5"/>
      <c r="AR311" s="5"/>
      <c r="BA311" s="35"/>
      <c r="BO311" s="5"/>
      <c r="BS311" s="5"/>
      <c r="BW311" s="5"/>
      <c r="CA311" s="5"/>
      <c r="CE311" s="5"/>
      <c r="CI311" s="5"/>
    </row>
    <row r="312" spans="4:87" x14ac:dyDescent="0.25">
      <c r="D312" s="7" t="str">
        <f t="shared" si="21"/>
        <v/>
      </c>
      <c r="E312" s="6" t="str">
        <f t="shared" si="22"/>
        <v/>
      </c>
      <c r="F312" t="str">
        <f t="shared" si="23"/>
        <v/>
      </c>
      <c r="G312" t="str">
        <f t="shared" si="24"/>
        <v/>
      </c>
      <c r="H312" t="str">
        <f t="shared" si="25"/>
        <v/>
      </c>
      <c r="K312" s="5"/>
      <c r="U312" s="5"/>
      <c r="AD312" s="5"/>
      <c r="AR312" s="5"/>
      <c r="BA312" s="35"/>
      <c r="BO312" s="5"/>
      <c r="BS312" s="5"/>
      <c r="BW312" s="5"/>
      <c r="CA312" s="5"/>
      <c r="CE312" s="5"/>
      <c r="CI312" s="5"/>
    </row>
    <row r="313" spans="4:87" x14ac:dyDescent="0.25">
      <c r="D313" s="7" t="str">
        <f t="shared" si="21"/>
        <v/>
      </c>
      <c r="E313" s="6" t="str">
        <f t="shared" si="22"/>
        <v/>
      </c>
      <c r="F313" t="str">
        <f t="shared" si="23"/>
        <v/>
      </c>
      <c r="G313" t="str">
        <f t="shared" si="24"/>
        <v/>
      </c>
      <c r="H313" t="str">
        <f t="shared" si="25"/>
        <v/>
      </c>
      <c r="K313" s="5"/>
      <c r="U313" s="5"/>
      <c r="AD313" s="5"/>
      <c r="AR313" s="5"/>
      <c r="BA313" s="35"/>
      <c r="BO313" s="5"/>
      <c r="BS313" s="5"/>
      <c r="BW313" s="5"/>
      <c r="CA313" s="5"/>
      <c r="CE313" s="5"/>
      <c r="CI313" s="5"/>
    </row>
    <row r="314" spans="4:87" x14ac:dyDescent="0.25">
      <c r="D314" s="7" t="str">
        <f t="shared" si="21"/>
        <v/>
      </c>
      <c r="E314" s="6" t="str">
        <f t="shared" si="22"/>
        <v/>
      </c>
      <c r="F314" t="str">
        <f t="shared" si="23"/>
        <v/>
      </c>
      <c r="G314" t="str">
        <f t="shared" si="24"/>
        <v/>
      </c>
      <c r="H314" t="str">
        <f t="shared" si="25"/>
        <v/>
      </c>
      <c r="K314" s="5"/>
      <c r="U314" s="5"/>
      <c r="AD314" s="5"/>
      <c r="AR314" s="5"/>
      <c r="BA314" s="35"/>
      <c r="BO314" s="5"/>
      <c r="BS314" s="5"/>
      <c r="BW314" s="5"/>
      <c r="CA314" s="5"/>
      <c r="CE314" s="5"/>
      <c r="CI314" s="5"/>
    </row>
    <row r="315" spans="4:87" x14ac:dyDescent="0.25">
      <c r="D315" s="7" t="str">
        <f t="shared" si="21"/>
        <v/>
      </c>
      <c r="E315" s="6" t="str">
        <f t="shared" si="22"/>
        <v/>
      </c>
      <c r="F315" t="str">
        <f t="shared" si="23"/>
        <v/>
      </c>
      <c r="G315" t="str">
        <f t="shared" si="24"/>
        <v/>
      </c>
      <c r="H315" t="str">
        <f t="shared" si="25"/>
        <v/>
      </c>
      <c r="K315" s="5"/>
      <c r="U315" s="5"/>
      <c r="AD315" s="5"/>
      <c r="AR315" s="5"/>
      <c r="BA315" s="35"/>
      <c r="BO315" s="5"/>
      <c r="BS315" s="5"/>
      <c r="BW315" s="5"/>
      <c r="CA315" s="5"/>
      <c r="CE315" s="5"/>
      <c r="CI315" s="5"/>
    </row>
    <row r="316" spans="4:87" x14ac:dyDescent="0.25">
      <c r="D316" s="7" t="str">
        <f t="shared" si="21"/>
        <v/>
      </c>
      <c r="E316" s="6" t="str">
        <f t="shared" si="22"/>
        <v/>
      </c>
      <c r="F316" t="str">
        <f t="shared" si="23"/>
        <v/>
      </c>
      <c r="G316" t="str">
        <f t="shared" si="24"/>
        <v/>
      </c>
      <c r="H316" t="str">
        <f t="shared" si="25"/>
        <v/>
      </c>
      <c r="K316" s="5"/>
      <c r="U316" s="5"/>
      <c r="AD316" s="5"/>
      <c r="AR316" s="5"/>
      <c r="BA316" s="35"/>
      <c r="BO316" s="5"/>
      <c r="BS316" s="5"/>
      <c r="BW316" s="5"/>
      <c r="CA316" s="5"/>
      <c r="CE316" s="5"/>
      <c r="CI316" s="5"/>
    </row>
    <row r="317" spans="4:87" x14ac:dyDescent="0.25">
      <c r="D317" s="7" t="str">
        <f t="shared" si="21"/>
        <v/>
      </c>
      <c r="E317" s="6" t="str">
        <f t="shared" si="22"/>
        <v/>
      </c>
      <c r="F317" t="str">
        <f t="shared" si="23"/>
        <v/>
      </c>
      <c r="G317" t="str">
        <f t="shared" si="24"/>
        <v/>
      </c>
      <c r="H317" t="str">
        <f t="shared" si="25"/>
        <v/>
      </c>
      <c r="K317" s="5"/>
      <c r="U317" s="5"/>
      <c r="AD317" s="5"/>
      <c r="AR317" s="5"/>
      <c r="BA317" s="35"/>
      <c r="BO317" s="5"/>
      <c r="BS317" s="5"/>
      <c r="BW317" s="5"/>
      <c r="CA317" s="5"/>
      <c r="CE317" s="5"/>
      <c r="CI317" s="5"/>
    </row>
    <row r="318" spans="4:87" x14ac:dyDescent="0.25">
      <c r="D318" s="7" t="str">
        <f t="shared" si="21"/>
        <v/>
      </c>
      <c r="E318" s="6" t="str">
        <f t="shared" si="22"/>
        <v/>
      </c>
      <c r="F318" t="str">
        <f t="shared" si="23"/>
        <v/>
      </c>
      <c r="G318" t="str">
        <f t="shared" si="24"/>
        <v/>
      </c>
      <c r="H318" t="str">
        <f t="shared" si="25"/>
        <v/>
      </c>
      <c r="K318" s="5"/>
      <c r="U318" s="5"/>
      <c r="AD318" s="5"/>
      <c r="AR318" s="5"/>
      <c r="BA318" s="35"/>
      <c r="BO318" s="5"/>
      <c r="BS318" s="5"/>
      <c r="BW318" s="5"/>
      <c r="CA318" s="5"/>
      <c r="CE318" s="5"/>
      <c r="CI318" s="5"/>
    </row>
    <row r="319" spans="4:87" x14ac:dyDescent="0.25">
      <c r="D319" s="7" t="str">
        <f t="shared" si="21"/>
        <v/>
      </c>
      <c r="E319" s="6" t="str">
        <f t="shared" si="22"/>
        <v/>
      </c>
      <c r="F319" t="str">
        <f t="shared" si="23"/>
        <v/>
      </c>
      <c r="G319" t="str">
        <f t="shared" si="24"/>
        <v/>
      </c>
      <c r="H319" t="str">
        <f t="shared" si="25"/>
        <v/>
      </c>
      <c r="K319" s="5"/>
      <c r="U319" s="5"/>
      <c r="AD319" s="5"/>
      <c r="AR319" s="5"/>
      <c r="BA319" s="35"/>
      <c r="BO319" s="5"/>
      <c r="BS319" s="5"/>
      <c r="BW319" s="5"/>
      <c r="CA319" s="5"/>
      <c r="CE319" s="5"/>
      <c r="CI319" s="5"/>
    </row>
    <row r="320" spans="4:87" x14ac:dyDescent="0.25">
      <c r="D320" s="7" t="str">
        <f t="shared" si="21"/>
        <v/>
      </c>
      <c r="E320" s="6" t="str">
        <f t="shared" si="22"/>
        <v/>
      </c>
      <c r="F320" t="str">
        <f t="shared" si="23"/>
        <v/>
      </c>
      <c r="G320" t="str">
        <f t="shared" si="24"/>
        <v/>
      </c>
      <c r="H320" t="str">
        <f t="shared" si="25"/>
        <v/>
      </c>
      <c r="K320" s="5"/>
      <c r="U320" s="5"/>
      <c r="AD320" s="5"/>
      <c r="AR320" s="5"/>
      <c r="BA320" s="35"/>
      <c r="BO320" s="5"/>
      <c r="BS320" s="5"/>
      <c r="BW320" s="5"/>
      <c r="CA320" s="5"/>
      <c r="CE320" s="5"/>
      <c r="CI320" s="5"/>
    </row>
    <row r="321" spans="4:87" x14ac:dyDescent="0.25">
      <c r="D321" s="7" t="str">
        <f t="shared" si="21"/>
        <v/>
      </c>
      <c r="E321" s="6" t="str">
        <f t="shared" si="22"/>
        <v/>
      </c>
      <c r="F321" t="str">
        <f t="shared" si="23"/>
        <v/>
      </c>
      <c r="G321" t="str">
        <f t="shared" si="24"/>
        <v/>
      </c>
      <c r="H321" t="str">
        <f t="shared" si="25"/>
        <v/>
      </c>
      <c r="K321" s="5"/>
      <c r="U321" s="5"/>
      <c r="AD321" s="5"/>
      <c r="AR321" s="5"/>
      <c r="BA321" s="35"/>
      <c r="BO321" s="5"/>
      <c r="BS321" s="5"/>
      <c r="BW321" s="5"/>
      <c r="CA321" s="5"/>
      <c r="CE321" s="5"/>
      <c r="CI321" s="5"/>
    </row>
    <row r="322" spans="4:87" x14ac:dyDescent="0.25">
      <c r="D322" s="7" t="str">
        <f t="shared" si="21"/>
        <v/>
      </c>
      <c r="E322" s="6" t="str">
        <f t="shared" si="22"/>
        <v/>
      </c>
      <c r="F322" t="str">
        <f t="shared" si="23"/>
        <v/>
      </c>
      <c r="G322" t="str">
        <f t="shared" si="24"/>
        <v/>
      </c>
      <c r="H322" t="str">
        <f t="shared" si="25"/>
        <v/>
      </c>
      <c r="K322" s="5"/>
      <c r="U322" s="5"/>
      <c r="AD322" s="5"/>
      <c r="AR322" s="5"/>
      <c r="BA322" s="35"/>
      <c r="BO322" s="5"/>
      <c r="BS322" s="5"/>
      <c r="BW322" s="5"/>
      <c r="CA322" s="5"/>
      <c r="CE322" s="5"/>
      <c r="CI322" s="5"/>
    </row>
    <row r="323" spans="4:87" x14ac:dyDescent="0.25">
      <c r="D323" s="7" t="str">
        <f t="shared" si="21"/>
        <v/>
      </c>
      <c r="E323" s="6" t="str">
        <f t="shared" si="22"/>
        <v/>
      </c>
      <c r="F323" t="str">
        <f t="shared" si="23"/>
        <v/>
      </c>
      <c r="G323" t="str">
        <f t="shared" si="24"/>
        <v/>
      </c>
      <c r="H323" t="str">
        <f t="shared" si="25"/>
        <v/>
      </c>
      <c r="K323" s="5"/>
      <c r="U323" s="5"/>
      <c r="AD323" s="5"/>
      <c r="AR323" s="5"/>
      <c r="BA323" s="35"/>
      <c r="BO323" s="5"/>
      <c r="BS323" s="5"/>
      <c r="BW323" s="5"/>
      <c r="CA323" s="5"/>
      <c r="CE323" s="5"/>
      <c r="CI323" s="5"/>
    </row>
    <row r="324" spans="4:87" x14ac:dyDescent="0.25">
      <c r="D324" s="7" t="str">
        <f t="shared" si="21"/>
        <v/>
      </c>
      <c r="E324" s="6" t="str">
        <f t="shared" si="22"/>
        <v/>
      </c>
      <c r="F324" t="str">
        <f t="shared" si="23"/>
        <v/>
      </c>
      <c r="G324" t="str">
        <f t="shared" si="24"/>
        <v/>
      </c>
      <c r="H324" t="str">
        <f t="shared" si="25"/>
        <v/>
      </c>
      <c r="K324" s="5"/>
      <c r="U324" s="5"/>
      <c r="AD324" s="5"/>
      <c r="AR324" s="5"/>
      <c r="BA324" s="35"/>
      <c r="BO324" s="5"/>
      <c r="BS324" s="5"/>
      <c r="BW324" s="5"/>
      <c r="CA324" s="5"/>
      <c r="CE324" s="5"/>
      <c r="CI324" s="5"/>
    </row>
    <row r="325" spans="4:87" x14ac:dyDescent="0.25">
      <c r="D325" s="7" t="str">
        <f t="shared" si="21"/>
        <v/>
      </c>
      <c r="E325" s="6" t="str">
        <f t="shared" si="22"/>
        <v/>
      </c>
      <c r="F325" t="str">
        <f t="shared" si="23"/>
        <v/>
      </c>
      <c r="G325" t="str">
        <f t="shared" si="24"/>
        <v/>
      </c>
      <c r="H325" t="str">
        <f t="shared" si="25"/>
        <v/>
      </c>
      <c r="K325" s="5"/>
      <c r="U325" s="5"/>
      <c r="AD325" s="5"/>
      <c r="AR325" s="5"/>
      <c r="BA325" s="35"/>
      <c r="BO325" s="5"/>
      <c r="BS325" s="5"/>
      <c r="BW325" s="5"/>
      <c r="CA325" s="5"/>
      <c r="CE325" s="5"/>
      <c r="CI325" s="5"/>
    </row>
    <row r="326" spans="4:87" x14ac:dyDescent="0.25">
      <c r="D326" s="7" t="str">
        <f t="shared" si="21"/>
        <v/>
      </c>
      <c r="E326" s="6" t="str">
        <f t="shared" si="22"/>
        <v/>
      </c>
      <c r="F326" t="str">
        <f t="shared" si="23"/>
        <v/>
      </c>
      <c r="G326" t="str">
        <f t="shared" si="24"/>
        <v/>
      </c>
      <c r="H326" t="str">
        <f t="shared" si="25"/>
        <v/>
      </c>
      <c r="K326" s="5"/>
      <c r="U326" s="5"/>
      <c r="AD326" s="5"/>
      <c r="AR326" s="5"/>
      <c r="BA326" s="35"/>
      <c r="BO326" s="5"/>
      <c r="BS326" s="5"/>
      <c r="BW326" s="5"/>
      <c r="CA326" s="5"/>
      <c r="CE326" s="5"/>
      <c r="CI326" s="5"/>
    </row>
    <row r="327" spans="4:87" x14ac:dyDescent="0.25">
      <c r="D327" s="7" t="str">
        <f t="shared" si="21"/>
        <v/>
      </c>
      <c r="E327" s="6" t="str">
        <f t="shared" si="22"/>
        <v/>
      </c>
      <c r="F327" t="str">
        <f t="shared" si="23"/>
        <v/>
      </c>
      <c r="G327" t="str">
        <f t="shared" si="24"/>
        <v/>
      </c>
      <c r="H327" t="str">
        <f t="shared" si="25"/>
        <v/>
      </c>
      <c r="K327" s="5"/>
      <c r="U327" s="5"/>
      <c r="AD327" s="5"/>
      <c r="AR327" s="5"/>
      <c r="BA327" s="35"/>
      <c r="BO327" s="5"/>
      <c r="BS327" s="5"/>
      <c r="BW327" s="5"/>
      <c r="CA327" s="5"/>
      <c r="CE327" s="5"/>
      <c r="CI327" s="5"/>
    </row>
    <row r="328" spans="4:87" x14ac:dyDescent="0.25">
      <c r="D328" s="7" t="str">
        <f t="shared" ref="D328:D371" si="26">IF(K328&lt;&gt;"",1+INT((K328-(DATE(YEAR(K328),1,2)-WEEKDAY(DATE(YEAR(K328),1,1))))/7),"")</f>
        <v/>
      </c>
      <c r="E328" s="6" t="str">
        <f t="shared" ref="E328:E371" si="27">IF(K328&lt;&gt;"",TEXT(K328,"ddd"),"")</f>
        <v/>
      </c>
      <c r="F328" t="str">
        <f t="shared" ref="F328:F371" si="28">IF(K328&lt;&gt;"",MONTH(K328),"")</f>
        <v/>
      </c>
      <c r="G328" t="str">
        <f t="shared" ref="G328:G371" si="29">IF(K328&lt;&gt;"",DAY(K328),"")</f>
        <v/>
      </c>
      <c r="H328" t="str">
        <f t="shared" ref="H328:H371" si="30">IF(K328&lt;&gt;"",YEAR(K328),"")</f>
        <v/>
      </c>
      <c r="K328" s="5"/>
      <c r="U328" s="5"/>
      <c r="AD328" s="5"/>
      <c r="AR328" s="5"/>
      <c r="BA328" s="35"/>
      <c r="BO328" s="5"/>
      <c r="BS328" s="5"/>
      <c r="BW328" s="5"/>
      <c r="CA328" s="5"/>
      <c r="CE328" s="5"/>
      <c r="CI328" s="5"/>
    </row>
    <row r="329" spans="4:87" x14ac:dyDescent="0.25">
      <c r="D329" s="7" t="str">
        <f t="shared" si="26"/>
        <v/>
      </c>
      <c r="E329" s="6" t="str">
        <f t="shared" si="27"/>
        <v/>
      </c>
      <c r="F329" t="str">
        <f t="shared" si="28"/>
        <v/>
      </c>
      <c r="G329" t="str">
        <f t="shared" si="29"/>
        <v/>
      </c>
      <c r="H329" t="str">
        <f t="shared" si="30"/>
        <v/>
      </c>
      <c r="K329" s="5"/>
      <c r="U329" s="5"/>
      <c r="AD329" s="5"/>
      <c r="AR329" s="5"/>
      <c r="BA329" s="35"/>
      <c r="BO329" s="5"/>
      <c r="BS329" s="5"/>
      <c r="BW329" s="5"/>
      <c r="CA329" s="5"/>
      <c r="CE329" s="5"/>
      <c r="CI329" s="5"/>
    </row>
    <row r="330" spans="4:87" x14ac:dyDescent="0.25">
      <c r="D330" s="7" t="str">
        <f t="shared" si="26"/>
        <v/>
      </c>
      <c r="E330" s="6" t="str">
        <f t="shared" si="27"/>
        <v/>
      </c>
      <c r="F330" t="str">
        <f t="shared" si="28"/>
        <v/>
      </c>
      <c r="G330" t="str">
        <f t="shared" si="29"/>
        <v/>
      </c>
      <c r="H330" t="str">
        <f t="shared" si="30"/>
        <v/>
      </c>
      <c r="K330" s="5"/>
      <c r="U330" s="5"/>
      <c r="AD330" s="5"/>
      <c r="AR330" s="5"/>
      <c r="BA330" s="35"/>
      <c r="BO330" s="5"/>
      <c r="BS330" s="5"/>
      <c r="BW330" s="5"/>
      <c r="CA330" s="5"/>
      <c r="CE330" s="5"/>
      <c r="CI330" s="5"/>
    </row>
    <row r="331" spans="4:87" x14ac:dyDescent="0.25">
      <c r="D331" s="7" t="str">
        <f t="shared" si="26"/>
        <v/>
      </c>
      <c r="E331" s="6" t="str">
        <f t="shared" si="27"/>
        <v/>
      </c>
      <c r="F331" t="str">
        <f t="shared" si="28"/>
        <v/>
      </c>
      <c r="G331" t="str">
        <f t="shared" si="29"/>
        <v/>
      </c>
      <c r="H331" t="str">
        <f t="shared" si="30"/>
        <v/>
      </c>
      <c r="K331" s="5"/>
      <c r="U331" s="5"/>
      <c r="AD331" s="5"/>
      <c r="AR331" s="5"/>
      <c r="BA331" s="35"/>
      <c r="BO331" s="5"/>
      <c r="BS331" s="5"/>
      <c r="BW331" s="5"/>
      <c r="CA331" s="5"/>
      <c r="CE331" s="5"/>
      <c r="CI331" s="5"/>
    </row>
    <row r="332" spans="4:87" x14ac:dyDescent="0.25">
      <c r="D332" s="7" t="str">
        <f t="shared" si="26"/>
        <v/>
      </c>
      <c r="E332" s="6" t="str">
        <f t="shared" si="27"/>
        <v/>
      </c>
      <c r="F332" t="str">
        <f t="shared" si="28"/>
        <v/>
      </c>
      <c r="G332" t="str">
        <f t="shared" si="29"/>
        <v/>
      </c>
      <c r="H332" t="str">
        <f t="shared" si="30"/>
        <v/>
      </c>
      <c r="K332" s="5"/>
      <c r="U332" s="5"/>
      <c r="AD332" s="5"/>
      <c r="AR332" s="5"/>
      <c r="BA332" s="35"/>
      <c r="BO332" s="5"/>
      <c r="BS332" s="5"/>
      <c r="BW332" s="5"/>
      <c r="CA332" s="5"/>
      <c r="CE332" s="5"/>
      <c r="CI332" s="5"/>
    </row>
    <row r="333" spans="4:87" x14ac:dyDescent="0.25">
      <c r="D333" s="7" t="str">
        <f t="shared" si="26"/>
        <v/>
      </c>
      <c r="E333" s="6" t="str">
        <f t="shared" si="27"/>
        <v/>
      </c>
      <c r="F333" t="str">
        <f t="shared" si="28"/>
        <v/>
      </c>
      <c r="G333" t="str">
        <f t="shared" si="29"/>
        <v/>
      </c>
      <c r="H333" t="str">
        <f t="shared" si="30"/>
        <v/>
      </c>
      <c r="K333" s="5"/>
      <c r="U333" s="5"/>
      <c r="AD333" s="5"/>
      <c r="AR333" s="5"/>
      <c r="BA333" s="35"/>
      <c r="BO333" s="5"/>
      <c r="BS333" s="5"/>
      <c r="BW333" s="5"/>
      <c r="CA333" s="5"/>
      <c r="CE333" s="5"/>
      <c r="CI333" s="5"/>
    </row>
    <row r="334" spans="4:87" x14ac:dyDescent="0.25">
      <c r="D334" s="7" t="str">
        <f t="shared" si="26"/>
        <v/>
      </c>
      <c r="E334" s="6" t="str">
        <f t="shared" si="27"/>
        <v/>
      </c>
      <c r="F334" t="str">
        <f t="shared" si="28"/>
        <v/>
      </c>
      <c r="G334" t="str">
        <f t="shared" si="29"/>
        <v/>
      </c>
      <c r="H334" t="str">
        <f t="shared" si="30"/>
        <v/>
      </c>
      <c r="K334" s="5"/>
      <c r="U334" s="5"/>
      <c r="AD334" s="5"/>
      <c r="AR334" s="5"/>
      <c r="BA334" s="35"/>
      <c r="BO334" s="5"/>
      <c r="BS334" s="5"/>
      <c r="BW334" s="5"/>
      <c r="CA334" s="5"/>
      <c r="CE334" s="5"/>
      <c r="CI334" s="5"/>
    </row>
    <row r="335" spans="4:87" x14ac:dyDescent="0.25">
      <c r="D335" s="7" t="str">
        <f t="shared" si="26"/>
        <v/>
      </c>
      <c r="E335" s="6" t="str">
        <f t="shared" si="27"/>
        <v/>
      </c>
      <c r="F335" t="str">
        <f t="shared" si="28"/>
        <v/>
      </c>
      <c r="G335" t="str">
        <f t="shared" si="29"/>
        <v/>
      </c>
      <c r="H335" t="str">
        <f t="shared" si="30"/>
        <v/>
      </c>
      <c r="K335" s="5"/>
      <c r="U335" s="5"/>
      <c r="AD335" s="5"/>
      <c r="AR335" s="5"/>
      <c r="BA335" s="35"/>
      <c r="BO335" s="5"/>
      <c r="BS335" s="5"/>
      <c r="BW335" s="5"/>
      <c r="CA335" s="5"/>
      <c r="CE335" s="5"/>
      <c r="CI335" s="5"/>
    </row>
    <row r="336" spans="4:87" x14ac:dyDescent="0.25">
      <c r="D336" s="7" t="str">
        <f t="shared" si="26"/>
        <v/>
      </c>
      <c r="E336" s="6" t="str">
        <f t="shared" si="27"/>
        <v/>
      </c>
      <c r="F336" t="str">
        <f t="shared" si="28"/>
        <v/>
      </c>
      <c r="G336" t="str">
        <f t="shared" si="29"/>
        <v/>
      </c>
      <c r="H336" t="str">
        <f t="shared" si="30"/>
        <v/>
      </c>
      <c r="K336" s="5"/>
      <c r="U336" s="5"/>
      <c r="AD336" s="5"/>
      <c r="AR336" s="5"/>
      <c r="BA336" s="35"/>
      <c r="BO336" s="5"/>
      <c r="BS336" s="5"/>
      <c r="BW336" s="5"/>
      <c r="CA336" s="5"/>
      <c r="CE336" s="5"/>
      <c r="CI336" s="5"/>
    </row>
    <row r="337" spans="4:87" x14ac:dyDescent="0.25">
      <c r="D337" s="7" t="str">
        <f t="shared" si="26"/>
        <v/>
      </c>
      <c r="E337" s="6" t="str">
        <f t="shared" si="27"/>
        <v/>
      </c>
      <c r="F337" t="str">
        <f t="shared" si="28"/>
        <v/>
      </c>
      <c r="G337" t="str">
        <f t="shared" si="29"/>
        <v/>
      </c>
      <c r="H337" t="str">
        <f t="shared" si="30"/>
        <v/>
      </c>
      <c r="K337" s="5"/>
      <c r="U337" s="5"/>
      <c r="AD337" s="5"/>
      <c r="AR337" s="5"/>
      <c r="BA337" s="35"/>
      <c r="BO337" s="5"/>
      <c r="BS337" s="5"/>
      <c r="BW337" s="5"/>
      <c r="CA337" s="5"/>
      <c r="CE337" s="5"/>
      <c r="CI337" s="5"/>
    </row>
    <row r="338" spans="4:87" x14ac:dyDescent="0.25">
      <c r="D338" s="7" t="str">
        <f t="shared" si="26"/>
        <v/>
      </c>
      <c r="E338" s="6" t="str">
        <f t="shared" si="27"/>
        <v/>
      </c>
      <c r="F338" t="str">
        <f t="shared" si="28"/>
        <v/>
      </c>
      <c r="G338" t="str">
        <f t="shared" si="29"/>
        <v/>
      </c>
      <c r="H338" t="str">
        <f t="shared" si="30"/>
        <v/>
      </c>
      <c r="K338" s="5"/>
      <c r="U338" s="5"/>
      <c r="AD338" s="5"/>
      <c r="AR338" s="5"/>
      <c r="BA338" s="35"/>
      <c r="BO338" s="5"/>
      <c r="BS338" s="5"/>
      <c r="BW338" s="5"/>
      <c r="CA338" s="5"/>
      <c r="CE338" s="5"/>
      <c r="CI338" s="5"/>
    </row>
    <row r="339" spans="4:87" x14ac:dyDescent="0.25">
      <c r="D339" s="7" t="str">
        <f t="shared" si="26"/>
        <v/>
      </c>
      <c r="E339" s="6" t="str">
        <f t="shared" si="27"/>
        <v/>
      </c>
      <c r="F339" t="str">
        <f t="shared" si="28"/>
        <v/>
      </c>
      <c r="G339" t="str">
        <f t="shared" si="29"/>
        <v/>
      </c>
      <c r="H339" t="str">
        <f t="shared" si="30"/>
        <v/>
      </c>
      <c r="K339" s="5"/>
      <c r="U339" s="5"/>
      <c r="AD339" s="5"/>
      <c r="AR339" s="5"/>
      <c r="BA339" s="35"/>
      <c r="BO339" s="5"/>
      <c r="BS339" s="5"/>
      <c r="BW339" s="5"/>
      <c r="CA339" s="5"/>
      <c r="CE339" s="5"/>
      <c r="CI339" s="5"/>
    </row>
    <row r="340" spans="4:87" x14ac:dyDescent="0.25">
      <c r="D340" s="7" t="str">
        <f t="shared" si="26"/>
        <v/>
      </c>
      <c r="E340" s="6" t="str">
        <f t="shared" si="27"/>
        <v/>
      </c>
      <c r="F340" t="str">
        <f t="shared" si="28"/>
        <v/>
      </c>
      <c r="G340" t="str">
        <f t="shared" si="29"/>
        <v/>
      </c>
      <c r="H340" t="str">
        <f t="shared" si="30"/>
        <v/>
      </c>
      <c r="K340" s="5"/>
      <c r="U340" s="5"/>
      <c r="AD340" s="5"/>
      <c r="AR340" s="5"/>
      <c r="BA340" s="35"/>
      <c r="BO340" s="5"/>
      <c r="BS340" s="5"/>
      <c r="BW340" s="5"/>
      <c r="CA340" s="5"/>
      <c r="CE340" s="5"/>
      <c r="CI340" s="5"/>
    </row>
    <row r="341" spans="4:87" x14ac:dyDescent="0.25">
      <c r="D341" s="7" t="str">
        <f t="shared" si="26"/>
        <v/>
      </c>
      <c r="E341" s="6" t="str">
        <f t="shared" si="27"/>
        <v/>
      </c>
      <c r="F341" t="str">
        <f t="shared" si="28"/>
        <v/>
      </c>
      <c r="G341" t="str">
        <f t="shared" si="29"/>
        <v/>
      </c>
      <c r="H341" t="str">
        <f t="shared" si="30"/>
        <v/>
      </c>
      <c r="K341" s="5"/>
      <c r="U341" s="5"/>
      <c r="AD341" s="5"/>
      <c r="AR341" s="5"/>
      <c r="BA341" s="35"/>
      <c r="BO341" s="5"/>
      <c r="BS341" s="5"/>
      <c r="BW341" s="5"/>
      <c r="CA341" s="5"/>
      <c r="CE341" s="5"/>
      <c r="CI341" s="5"/>
    </row>
    <row r="342" spans="4:87" x14ac:dyDescent="0.25">
      <c r="D342" s="7" t="str">
        <f t="shared" si="26"/>
        <v/>
      </c>
      <c r="E342" s="6" t="str">
        <f t="shared" si="27"/>
        <v/>
      </c>
      <c r="F342" t="str">
        <f t="shared" si="28"/>
        <v/>
      </c>
      <c r="G342" t="str">
        <f t="shared" si="29"/>
        <v/>
      </c>
      <c r="H342" t="str">
        <f t="shared" si="30"/>
        <v/>
      </c>
      <c r="K342" s="5"/>
      <c r="U342" s="5"/>
      <c r="AD342" s="5"/>
      <c r="AR342" s="5"/>
      <c r="BA342" s="35"/>
      <c r="BO342" s="5"/>
      <c r="BS342" s="5"/>
      <c r="BW342" s="5"/>
      <c r="CA342" s="5"/>
      <c r="CE342" s="5"/>
      <c r="CI342" s="5"/>
    </row>
    <row r="343" spans="4:87" x14ac:dyDescent="0.25">
      <c r="D343" s="7" t="str">
        <f t="shared" si="26"/>
        <v/>
      </c>
      <c r="E343" s="6" t="str">
        <f t="shared" si="27"/>
        <v/>
      </c>
      <c r="F343" t="str">
        <f t="shared" si="28"/>
        <v/>
      </c>
      <c r="G343" t="str">
        <f t="shared" si="29"/>
        <v/>
      </c>
      <c r="H343" t="str">
        <f t="shared" si="30"/>
        <v/>
      </c>
      <c r="K343" s="5"/>
      <c r="U343" s="5"/>
      <c r="AD343" s="5"/>
      <c r="AR343" s="5"/>
      <c r="BA343" s="35"/>
      <c r="BO343" s="5"/>
      <c r="BS343" s="5"/>
      <c r="BW343" s="5"/>
      <c r="CA343" s="5"/>
      <c r="CE343" s="5"/>
      <c r="CI343" s="5"/>
    </row>
    <row r="344" spans="4:87" x14ac:dyDescent="0.25">
      <c r="D344" s="7" t="str">
        <f t="shared" si="26"/>
        <v/>
      </c>
      <c r="E344" s="6" t="str">
        <f t="shared" si="27"/>
        <v/>
      </c>
      <c r="F344" t="str">
        <f t="shared" si="28"/>
        <v/>
      </c>
      <c r="G344" t="str">
        <f t="shared" si="29"/>
        <v/>
      </c>
      <c r="H344" t="str">
        <f t="shared" si="30"/>
        <v/>
      </c>
      <c r="K344" s="5"/>
      <c r="U344" s="5"/>
      <c r="AD344" s="5"/>
      <c r="AR344" s="5"/>
      <c r="BA344" s="35"/>
      <c r="BO344" s="5"/>
      <c r="BS344" s="5"/>
      <c r="BW344" s="5"/>
      <c r="CA344" s="5"/>
      <c r="CE344" s="5"/>
      <c r="CI344" s="5"/>
    </row>
    <row r="345" spans="4:87" x14ac:dyDescent="0.25">
      <c r="D345" s="7" t="str">
        <f t="shared" si="26"/>
        <v/>
      </c>
      <c r="E345" s="6" t="str">
        <f t="shared" si="27"/>
        <v/>
      </c>
      <c r="F345" t="str">
        <f t="shared" si="28"/>
        <v/>
      </c>
      <c r="G345" t="str">
        <f t="shared" si="29"/>
        <v/>
      </c>
      <c r="H345" t="str">
        <f t="shared" si="30"/>
        <v/>
      </c>
      <c r="K345" s="5"/>
      <c r="U345" s="5"/>
      <c r="AD345" s="5"/>
      <c r="AR345" s="5"/>
      <c r="BA345" s="35"/>
      <c r="BO345" s="5"/>
      <c r="BS345" s="5"/>
      <c r="BW345" s="5"/>
      <c r="CA345" s="5"/>
      <c r="CE345" s="5"/>
      <c r="CI345" s="5"/>
    </row>
    <row r="346" spans="4:87" x14ac:dyDescent="0.25">
      <c r="D346" s="7" t="str">
        <f t="shared" si="26"/>
        <v/>
      </c>
      <c r="E346" s="6" t="str">
        <f t="shared" si="27"/>
        <v/>
      </c>
      <c r="F346" t="str">
        <f t="shared" si="28"/>
        <v/>
      </c>
      <c r="G346" t="str">
        <f t="shared" si="29"/>
        <v/>
      </c>
      <c r="H346" t="str">
        <f t="shared" si="30"/>
        <v/>
      </c>
      <c r="K346" s="5"/>
      <c r="U346" s="5"/>
      <c r="AD346" s="5"/>
      <c r="AR346" s="5"/>
      <c r="BA346" s="35"/>
      <c r="BO346" s="5"/>
      <c r="BS346" s="5"/>
      <c r="BW346" s="5"/>
      <c r="CA346" s="5"/>
      <c r="CE346" s="5"/>
      <c r="CI346" s="5"/>
    </row>
    <row r="347" spans="4:87" x14ac:dyDescent="0.25">
      <c r="D347" s="7" t="str">
        <f t="shared" si="26"/>
        <v/>
      </c>
      <c r="E347" s="6" t="str">
        <f t="shared" si="27"/>
        <v/>
      </c>
      <c r="F347" t="str">
        <f t="shared" si="28"/>
        <v/>
      </c>
      <c r="G347" t="str">
        <f t="shared" si="29"/>
        <v/>
      </c>
      <c r="H347" t="str">
        <f t="shared" si="30"/>
        <v/>
      </c>
      <c r="K347" s="5"/>
      <c r="U347" s="5"/>
      <c r="AD347" s="5"/>
      <c r="AR347" s="5"/>
      <c r="BA347" s="35"/>
      <c r="BO347" s="5"/>
      <c r="BS347" s="5"/>
      <c r="BW347" s="5"/>
      <c r="CA347" s="5"/>
      <c r="CE347" s="5"/>
      <c r="CI347" s="5"/>
    </row>
    <row r="348" spans="4:87" x14ac:dyDescent="0.25">
      <c r="D348" s="7" t="str">
        <f t="shared" si="26"/>
        <v/>
      </c>
      <c r="E348" s="6" t="str">
        <f t="shared" si="27"/>
        <v/>
      </c>
      <c r="F348" t="str">
        <f t="shared" si="28"/>
        <v/>
      </c>
      <c r="G348" t="str">
        <f t="shared" si="29"/>
        <v/>
      </c>
      <c r="H348" t="str">
        <f t="shared" si="30"/>
        <v/>
      </c>
      <c r="K348" s="5"/>
      <c r="U348" s="5"/>
      <c r="AD348" s="5"/>
      <c r="AR348" s="5"/>
      <c r="BA348" s="35"/>
      <c r="BO348" s="5"/>
      <c r="BS348" s="5"/>
      <c r="BW348" s="5"/>
      <c r="CA348" s="5"/>
      <c r="CE348" s="5"/>
      <c r="CI348" s="5"/>
    </row>
    <row r="349" spans="4:87" x14ac:dyDescent="0.25">
      <c r="D349" s="7" t="str">
        <f t="shared" si="26"/>
        <v/>
      </c>
      <c r="E349" s="6" t="str">
        <f t="shared" si="27"/>
        <v/>
      </c>
      <c r="F349" t="str">
        <f t="shared" si="28"/>
        <v/>
      </c>
      <c r="G349" t="str">
        <f t="shared" si="29"/>
        <v/>
      </c>
      <c r="H349" t="str">
        <f t="shared" si="30"/>
        <v/>
      </c>
    </row>
    <row r="350" spans="4:87" x14ac:dyDescent="0.25">
      <c r="D350" s="7" t="str">
        <f t="shared" si="26"/>
        <v/>
      </c>
      <c r="E350" s="6" t="str">
        <f t="shared" si="27"/>
        <v/>
      </c>
      <c r="F350" t="str">
        <f t="shared" si="28"/>
        <v/>
      </c>
      <c r="G350" t="str">
        <f t="shared" si="29"/>
        <v/>
      </c>
      <c r="H350" t="str">
        <f t="shared" si="30"/>
        <v/>
      </c>
    </row>
    <row r="351" spans="4:87" x14ac:dyDescent="0.25">
      <c r="D351" s="7" t="str">
        <f t="shared" si="26"/>
        <v/>
      </c>
      <c r="E351" s="6" t="str">
        <f t="shared" si="27"/>
        <v/>
      </c>
      <c r="F351" t="str">
        <f t="shared" si="28"/>
        <v/>
      </c>
      <c r="G351" t="str">
        <f t="shared" si="29"/>
        <v/>
      </c>
      <c r="H351" t="str">
        <f t="shared" si="30"/>
        <v/>
      </c>
    </row>
    <row r="352" spans="4:87" x14ac:dyDescent="0.25">
      <c r="D352" s="7" t="str">
        <f t="shared" si="26"/>
        <v/>
      </c>
      <c r="E352" s="6" t="str">
        <f t="shared" si="27"/>
        <v/>
      </c>
      <c r="F352" t="str">
        <f t="shared" si="28"/>
        <v/>
      </c>
      <c r="G352" t="str">
        <f t="shared" si="29"/>
        <v/>
      </c>
      <c r="H352" t="str">
        <f t="shared" si="30"/>
        <v/>
      </c>
    </row>
    <row r="353" spans="4:8" x14ac:dyDescent="0.25">
      <c r="D353" s="7" t="str">
        <f t="shared" si="26"/>
        <v/>
      </c>
      <c r="E353" s="6" t="str">
        <f t="shared" si="27"/>
        <v/>
      </c>
      <c r="F353" t="str">
        <f t="shared" si="28"/>
        <v/>
      </c>
      <c r="G353" t="str">
        <f t="shared" si="29"/>
        <v/>
      </c>
      <c r="H353" t="str">
        <f t="shared" si="30"/>
        <v/>
      </c>
    </row>
    <row r="354" spans="4:8" x14ac:dyDescent="0.25">
      <c r="D354" s="7" t="str">
        <f t="shared" si="26"/>
        <v/>
      </c>
      <c r="E354" s="6" t="str">
        <f t="shared" si="27"/>
        <v/>
      </c>
      <c r="F354" t="str">
        <f t="shared" si="28"/>
        <v/>
      </c>
      <c r="G354" t="str">
        <f t="shared" si="29"/>
        <v/>
      </c>
      <c r="H354" t="str">
        <f t="shared" si="30"/>
        <v/>
      </c>
    </row>
    <row r="355" spans="4:8" x14ac:dyDescent="0.25">
      <c r="D355" s="7" t="str">
        <f t="shared" si="26"/>
        <v/>
      </c>
      <c r="E355" s="6" t="str">
        <f t="shared" si="27"/>
        <v/>
      </c>
      <c r="F355" t="str">
        <f t="shared" si="28"/>
        <v/>
      </c>
      <c r="G355" t="str">
        <f t="shared" si="29"/>
        <v/>
      </c>
      <c r="H355" t="str">
        <f t="shared" si="30"/>
        <v/>
      </c>
    </row>
    <row r="356" spans="4:8" x14ac:dyDescent="0.25">
      <c r="D356" s="7" t="str">
        <f t="shared" si="26"/>
        <v/>
      </c>
      <c r="E356" s="6" t="str">
        <f t="shared" si="27"/>
        <v/>
      </c>
      <c r="F356" t="str">
        <f t="shared" si="28"/>
        <v/>
      </c>
      <c r="G356" t="str">
        <f t="shared" si="29"/>
        <v/>
      </c>
      <c r="H356" t="str">
        <f t="shared" si="30"/>
        <v/>
      </c>
    </row>
    <row r="357" spans="4:8" x14ac:dyDescent="0.25">
      <c r="D357" s="7" t="str">
        <f t="shared" si="26"/>
        <v/>
      </c>
      <c r="E357" s="6" t="str">
        <f t="shared" si="27"/>
        <v/>
      </c>
      <c r="F357" t="str">
        <f t="shared" si="28"/>
        <v/>
      </c>
      <c r="G357" t="str">
        <f t="shared" si="29"/>
        <v/>
      </c>
      <c r="H357" t="str">
        <f t="shared" si="30"/>
        <v/>
      </c>
    </row>
    <row r="358" spans="4:8" x14ac:dyDescent="0.25">
      <c r="D358" s="7" t="str">
        <f t="shared" si="26"/>
        <v/>
      </c>
      <c r="E358" s="6" t="str">
        <f t="shared" si="27"/>
        <v/>
      </c>
      <c r="F358" t="str">
        <f t="shared" si="28"/>
        <v/>
      </c>
      <c r="G358" t="str">
        <f t="shared" si="29"/>
        <v/>
      </c>
      <c r="H358" t="str">
        <f t="shared" si="30"/>
        <v/>
      </c>
    </row>
    <row r="359" spans="4:8" x14ac:dyDescent="0.25">
      <c r="D359" s="7" t="str">
        <f t="shared" si="26"/>
        <v/>
      </c>
      <c r="E359" s="6" t="str">
        <f t="shared" si="27"/>
        <v/>
      </c>
      <c r="F359" t="str">
        <f t="shared" si="28"/>
        <v/>
      </c>
      <c r="G359" t="str">
        <f t="shared" si="29"/>
        <v/>
      </c>
      <c r="H359" t="str">
        <f t="shared" si="30"/>
        <v/>
      </c>
    </row>
    <row r="360" spans="4:8" x14ac:dyDescent="0.25">
      <c r="D360" s="7" t="str">
        <f t="shared" si="26"/>
        <v/>
      </c>
      <c r="E360" s="6" t="str">
        <f t="shared" si="27"/>
        <v/>
      </c>
      <c r="F360" t="str">
        <f t="shared" si="28"/>
        <v/>
      </c>
      <c r="G360" t="str">
        <f t="shared" si="29"/>
        <v/>
      </c>
      <c r="H360" t="str">
        <f t="shared" si="30"/>
        <v/>
      </c>
    </row>
    <row r="361" spans="4:8" x14ac:dyDescent="0.25">
      <c r="D361" s="7" t="str">
        <f t="shared" si="26"/>
        <v/>
      </c>
      <c r="E361" s="6" t="str">
        <f t="shared" si="27"/>
        <v/>
      </c>
      <c r="F361" t="str">
        <f t="shared" si="28"/>
        <v/>
      </c>
      <c r="G361" t="str">
        <f t="shared" si="29"/>
        <v/>
      </c>
      <c r="H361" t="str">
        <f t="shared" si="30"/>
        <v/>
      </c>
    </row>
    <row r="362" spans="4:8" x14ac:dyDescent="0.25">
      <c r="D362" s="7" t="str">
        <f t="shared" si="26"/>
        <v/>
      </c>
      <c r="E362" s="6" t="str">
        <f t="shared" si="27"/>
        <v/>
      </c>
      <c r="F362" t="str">
        <f t="shared" si="28"/>
        <v/>
      </c>
      <c r="G362" t="str">
        <f t="shared" si="29"/>
        <v/>
      </c>
      <c r="H362" t="str">
        <f t="shared" si="30"/>
        <v/>
      </c>
    </row>
    <row r="363" spans="4:8" x14ac:dyDescent="0.25">
      <c r="D363" s="7" t="str">
        <f t="shared" si="26"/>
        <v/>
      </c>
      <c r="E363" s="6" t="str">
        <f t="shared" si="27"/>
        <v/>
      </c>
      <c r="F363" t="str">
        <f t="shared" si="28"/>
        <v/>
      </c>
      <c r="G363" t="str">
        <f t="shared" si="29"/>
        <v/>
      </c>
      <c r="H363" t="str">
        <f t="shared" si="30"/>
        <v/>
      </c>
    </row>
    <row r="364" spans="4:8" x14ac:dyDescent="0.25">
      <c r="D364" s="7" t="str">
        <f t="shared" si="26"/>
        <v/>
      </c>
      <c r="E364" s="6" t="str">
        <f t="shared" si="27"/>
        <v/>
      </c>
      <c r="F364" t="str">
        <f t="shared" si="28"/>
        <v/>
      </c>
      <c r="G364" t="str">
        <f t="shared" si="29"/>
        <v/>
      </c>
      <c r="H364" t="str">
        <f t="shared" si="30"/>
        <v/>
      </c>
    </row>
    <row r="365" spans="4:8" x14ac:dyDescent="0.25">
      <c r="D365" s="7" t="str">
        <f t="shared" si="26"/>
        <v/>
      </c>
      <c r="E365" s="6" t="str">
        <f t="shared" si="27"/>
        <v/>
      </c>
      <c r="F365" t="str">
        <f t="shared" si="28"/>
        <v/>
      </c>
      <c r="G365" t="str">
        <f t="shared" si="29"/>
        <v/>
      </c>
      <c r="H365" t="str">
        <f t="shared" si="30"/>
        <v/>
      </c>
    </row>
    <row r="366" spans="4:8" x14ac:dyDescent="0.25">
      <c r="D366" s="7" t="str">
        <f t="shared" si="26"/>
        <v/>
      </c>
      <c r="E366" s="6" t="str">
        <f t="shared" si="27"/>
        <v/>
      </c>
      <c r="F366" t="str">
        <f t="shared" si="28"/>
        <v/>
      </c>
      <c r="G366" t="str">
        <f t="shared" si="29"/>
        <v/>
      </c>
      <c r="H366" t="str">
        <f t="shared" si="30"/>
        <v/>
      </c>
    </row>
    <row r="367" spans="4:8" x14ac:dyDescent="0.25">
      <c r="D367" s="7" t="str">
        <f t="shared" si="26"/>
        <v/>
      </c>
      <c r="E367" s="6" t="str">
        <f t="shared" si="27"/>
        <v/>
      </c>
      <c r="F367" t="str">
        <f t="shared" si="28"/>
        <v/>
      </c>
      <c r="G367" t="str">
        <f t="shared" si="29"/>
        <v/>
      </c>
      <c r="H367" t="str">
        <f t="shared" si="30"/>
        <v/>
      </c>
    </row>
    <row r="368" spans="4:8" x14ac:dyDescent="0.25">
      <c r="D368" s="7" t="str">
        <f t="shared" si="26"/>
        <v/>
      </c>
      <c r="E368" s="6" t="str">
        <f t="shared" si="27"/>
        <v/>
      </c>
      <c r="F368" t="str">
        <f t="shared" si="28"/>
        <v/>
      </c>
      <c r="G368" t="str">
        <f t="shared" si="29"/>
        <v/>
      </c>
      <c r="H368" t="str">
        <f t="shared" si="30"/>
        <v/>
      </c>
    </row>
    <row r="369" spans="4:8" x14ac:dyDescent="0.25">
      <c r="D369" s="7" t="str">
        <f t="shared" si="26"/>
        <v/>
      </c>
      <c r="E369" s="6" t="str">
        <f t="shared" si="27"/>
        <v/>
      </c>
      <c r="F369" t="str">
        <f t="shared" si="28"/>
        <v/>
      </c>
      <c r="G369" t="str">
        <f t="shared" si="29"/>
        <v/>
      </c>
      <c r="H369" t="str">
        <f t="shared" si="30"/>
        <v/>
      </c>
    </row>
    <row r="370" spans="4:8" x14ac:dyDescent="0.25">
      <c r="D370" s="7" t="str">
        <f t="shared" si="26"/>
        <v/>
      </c>
      <c r="E370" s="6" t="str">
        <f t="shared" si="27"/>
        <v/>
      </c>
      <c r="F370" t="str">
        <f t="shared" si="28"/>
        <v/>
      </c>
      <c r="G370" t="str">
        <f t="shared" si="29"/>
        <v/>
      </c>
      <c r="H370" t="str">
        <f t="shared" si="30"/>
        <v/>
      </c>
    </row>
    <row r="371" spans="4:8" x14ac:dyDescent="0.25">
      <c r="D371" s="7" t="str">
        <f t="shared" si="26"/>
        <v/>
      </c>
      <c r="E371" s="6" t="str">
        <f t="shared" si="27"/>
        <v/>
      </c>
      <c r="F371" t="str">
        <f t="shared" si="28"/>
        <v/>
      </c>
      <c r="G371" t="str">
        <f t="shared" si="29"/>
        <v/>
      </c>
      <c r="H371" t="str">
        <f t="shared" si="30"/>
        <v/>
      </c>
    </row>
  </sheetData>
  <mergeCells count="11">
    <mergeCell ref="CI5:CK5"/>
    <mergeCell ref="BO5:BQ5"/>
    <mergeCell ref="BS5:BU5"/>
    <mergeCell ref="BW5:BY5"/>
    <mergeCell ref="CA5:CC5"/>
    <mergeCell ref="K5:M5"/>
    <mergeCell ref="U5:W5"/>
    <mergeCell ref="AD5:AF5"/>
    <mergeCell ref="AR5:AT5"/>
    <mergeCell ref="CE5:CG5"/>
    <mergeCell ref="BA5:BC5"/>
  </mergeCells>
  <phoneticPr fontId="3" type="noConversion"/>
  <pageMargins left="0.75" right="0.75" top="1" bottom="1" header="0.5" footer="0.5"/>
  <pageSetup orientation="portrait" r:id="rId1"/>
  <headerFooter alignWithMargins="0"/>
  <customProperties>
    <customPr name="ORB_ACCOUNTS_1" r:id="rId2"/>
    <customPr name="ORB_ACCOUNTS_2" r:id="rId3"/>
    <customPr name="ORB_ACCOUNTS_3" r:id="rId4"/>
    <customPr name="ORB_SHEETNAME" r:id="rId5"/>
    <customPr name="ORB_V1_00000" r:id="rId6"/>
    <customPr name="ORB_V1_00001" r:id="rId7"/>
    <customPr name="ORB_V1_00002" r:id="rId8"/>
    <customPr name="ORB_V1_00003" r:id="rId9"/>
    <customPr name="RB_WORKBOOK_VERSION" r:id="rId10"/>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BA23-1341-4AA1-A320-0B4E5DEF6BA5}">
  <dimension ref="A1:BA102"/>
  <sheetViews>
    <sheetView topLeftCell="A67" workbookViewId="0">
      <selection activeCell="I13" sqref="I13"/>
    </sheetView>
  </sheetViews>
  <sheetFormatPr defaultRowHeight="13.2" x14ac:dyDescent="0.25"/>
  <cols>
    <col min="1" max="1" width="13.88671875" customWidth="1"/>
    <col min="2" max="2" width="40.44140625" customWidth="1"/>
    <col min="3" max="3" width="2.109375" style="3" customWidth="1"/>
    <col min="4" max="4" width="56.109375" customWidth="1"/>
    <col min="5" max="5" width="13.5546875" customWidth="1"/>
    <col min="6" max="29" width="12.33203125" customWidth="1"/>
    <col min="30" max="53" width="10.109375" bestFit="1" customWidth="1"/>
  </cols>
  <sheetData>
    <row r="1" spans="1:53" x14ac:dyDescent="0.25">
      <c r="A1" t="s">
        <v>0</v>
      </c>
      <c r="B1" t="str">
        <f>Config!B1</f>
        <v>canadapostca-global</v>
      </c>
      <c r="E1" s="5">
        <v>41153</v>
      </c>
      <c r="F1" s="5">
        <v>41153</v>
      </c>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3" s="6" customFormat="1" x14ac:dyDescent="0.25">
      <c r="A2" s="50"/>
      <c r="B2" s="50"/>
      <c r="C2" s="50"/>
      <c r="D2" s="51" t="s">
        <v>76</v>
      </c>
      <c r="E2" s="51" t="s">
        <v>75</v>
      </c>
      <c r="F2" s="52" t="s">
        <v>92</v>
      </c>
      <c r="G2" s="52" t="s">
        <v>93</v>
      </c>
    </row>
    <row r="3" spans="1:53" x14ac:dyDescent="0.25">
      <c r="A3" t="s">
        <v>5</v>
      </c>
      <c r="B3" s="4">
        <f>Config!B3</f>
        <v>40269</v>
      </c>
      <c r="D3" t="s">
        <v>88</v>
      </c>
      <c r="E3">
        <v>4714</v>
      </c>
      <c r="F3">
        <v>0</v>
      </c>
    </row>
    <row r="4" spans="1:53" x14ac:dyDescent="0.25">
      <c r="A4" t="s">
        <v>6</v>
      </c>
      <c r="B4" s="4">
        <f>Config!B4</f>
        <v>40999</v>
      </c>
      <c r="D4" t="s">
        <v>81</v>
      </c>
      <c r="E4">
        <v>505</v>
      </c>
      <c r="F4">
        <v>629776</v>
      </c>
      <c r="G4" s="41">
        <f t="shared" ref="G4:G35" si="0">E4/F4</f>
        <v>8.0187241177815608E-4</v>
      </c>
    </row>
    <row r="5" spans="1:53" x14ac:dyDescent="0.25">
      <c r="A5" s="3"/>
      <c r="B5" s="3"/>
      <c r="D5" t="s">
        <v>90</v>
      </c>
      <c r="E5">
        <v>383</v>
      </c>
      <c r="F5">
        <v>737898</v>
      </c>
      <c r="G5" s="41">
        <f t="shared" si="0"/>
        <v>5.1904192720403093E-4</v>
      </c>
    </row>
    <row r="6" spans="1:53" x14ac:dyDescent="0.25">
      <c r="A6" s="1" t="s">
        <v>7</v>
      </c>
      <c r="D6" t="s">
        <v>82</v>
      </c>
      <c r="E6">
        <v>134</v>
      </c>
      <c r="F6">
        <v>185434</v>
      </c>
      <c r="G6" s="41">
        <f t="shared" si="0"/>
        <v>7.2262907557405864E-4</v>
      </c>
    </row>
    <row r="7" spans="1:53" x14ac:dyDescent="0.25">
      <c r="A7" t="str">
        <f>IF(Config!A7 &lt;&gt; "",Config!A7,"")</f>
        <v>ss1</v>
      </c>
      <c r="B7" t="str">
        <f>IF(Config!B7&lt;&gt;"",Config!B7,"")</f>
        <v>cpc.ca: shop</v>
      </c>
      <c r="D7" t="s">
        <v>80</v>
      </c>
      <c r="E7">
        <v>36</v>
      </c>
      <c r="F7">
        <v>34149</v>
      </c>
      <c r="G7" s="41">
        <f t="shared" si="0"/>
        <v>1.0542036370025476E-3</v>
      </c>
    </row>
    <row r="8" spans="1:53" x14ac:dyDescent="0.25">
      <c r="A8" t="str">
        <f>IF(Config!A8 &lt;&gt; "",Config!A8,"")</f>
        <v>ss2</v>
      </c>
      <c r="B8" t="str">
        <f>IF(Config!B8&lt;&gt;"",Config!B8,"")</f>
        <v>cpc.ca: shop &gt; business</v>
      </c>
      <c r="D8" t="s">
        <v>84</v>
      </c>
      <c r="E8">
        <v>29</v>
      </c>
      <c r="F8">
        <v>44668</v>
      </c>
      <c r="G8" s="41">
        <f t="shared" si="0"/>
        <v>6.4923435121339663E-4</v>
      </c>
    </row>
    <row r="9" spans="1:53" x14ac:dyDescent="0.25">
      <c r="A9" t="str">
        <f>IF(Config!A9 &lt;&gt; "",Config!A9,"")</f>
        <v>ss2</v>
      </c>
      <c r="B9" t="str">
        <f>IF(Config!B9&lt;&gt;"",Config!B9,"")</f>
        <v>cpc.ca: shop &gt; commercial</v>
      </c>
      <c r="D9" t="s">
        <v>94</v>
      </c>
      <c r="E9">
        <v>21</v>
      </c>
      <c r="F9">
        <v>282</v>
      </c>
      <c r="G9" s="41">
        <f t="shared" si="0"/>
        <v>7.4468085106382975E-2</v>
      </c>
    </row>
    <row r="10" spans="1:53" x14ac:dyDescent="0.25">
      <c r="A10" t="str">
        <f>IF(Config!A10 &lt;&gt; "",Config!A10,"")</f>
        <v>ss2</v>
      </c>
      <c r="B10" t="str">
        <f>IF(Config!B10&lt;&gt;"",Config!B10,"")</f>
        <v>cpc.ca: shop &gt; personal</v>
      </c>
      <c r="D10" t="s">
        <v>83</v>
      </c>
      <c r="E10">
        <v>17</v>
      </c>
      <c r="F10">
        <v>349</v>
      </c>
      <c r="G10" s="41">
        <f t="shared" si="0"/>
        <v>4.8710601719197708E-2</v>
      </c>
    </row>
    <row r="11" spans="1:53" x14ac:dyDescent="0.25">
      <c r="A11" t="str">
        <f>IF(Config!A11 &lt;&gt; "",Config!A11,"")</f>
        <v>ss2</v>
      </c>
      <c r="B11" t="str">
        <f>IF(Config!B11&lt;&gt;"",Config!B11,"")</f>
        <v>cpc.ca: shop &gt; collecting</v>
      </c>
      <c r="D11" t="s">
        <v>85</v>
      </c>
      <c r="E11">
        <v>14</v>
      </c>
      <c r="F11">
        <v>15166</v>
      </c>
      <c r="G11" s="41">
        <f t="shared" si="0"/>
        <v>9.2311749967031521E-4</v>
      </c>
    </row>
    <row r="12" spans="1:53" x14ac:dyDescent="0.25">
      <c r="A12" t="str">
        <f>IF(Config!A12 &lt;&gt; "",Config!A12,"")</f>
        <v>site</v>
      </c>
      <c r="B12" t="str">
        <f>IF(Config!B12&lt;&gt;"",Config!B12,"")</f>
        <v>cpc.ca</v>
      </c>
      <c r="D12" t="s">
        <v>77</v>
      </c>
      <c r="E12">
        <v>12</v>
      </c>
      <c r="F12">
        <v>149606</v>
      </c>
      <c r="G12" s="41">
        <f t="shared" si="0"/>
        <v>8.0210686737162951E-5</v>
      </c>
    </row>
    <row r="13" spans="1:53" x14ac:dyDescent="0.25">
      <c r="A13" t="str">
        <f>IF(Config!A13 &lt;&gt; "",Config!A13,"")</f>
        <v>basic page</v>
      </c>
      <c r="B13" t="str">
        <f>IF(Config!B13&lt;&gt;"",Config!B13,"")</f>
        <v>cpc.ca: shop &gt; checkout &gt; address information</v>
      </c>
      <c r="D13" t="s">
        <v>89</v>
      </c>
      <c r="E13">
        <v>10</v>
      </c>
      <c r="F13">
        <v>17320</v>
      </c>
      <c r="G13" s="41">
        <f t="shared" si="0"/>
        <v>5.7736720554272516E-4</v>
      </c>
    </row>
    <row r="14" spans="1:53" x14ac:dyDescent="0.25">
      <c r="A14" t="str">
        <f>IF(Config!A14 &lt;&gt; "",Config!A14,"")</f>
        <v>basic page</v>
      </c>
      <c r="B14" t="str">
        <f>IF(Config!B14&lt;&gt;"",Config!B14,"")</f>
        <v>cpc.ca: shop &gt; checkout &gt; shipping options</v>
      </c>
      <c r="D14" t="s">
        <v>79</v>
      </c>
      <c r="E14">
        <v>7</v>
      </c>
      <c r="F14">
        <v>21787</v>
      </c>
      <c r="G14" s="41">
        <f t="shared" si="0"/>
        <v>3.2129251388442648E-4</v>
      </c>
    </row>
    <row r="15" spans="1:53" x14ac:dyDescent="0.25">
      <c r="A15" t="str">
        <f>IF(Config!A15 &lt;&gt; "",Config!A15,"")</f>
        <v>basic page</v>
      </c>
      <c r="B15" t="str">
        <f>IF(Config!B15&lt;&gt;"",Config!B15,"")</f>
        <v>cpc.ca: shop &gt; checkout &gt; payment options</v>
      </c>
      <c r="D15" t="s">
        <v>101</v>
      </c>
      <c r="E15">
        <v>7</v>
      </c>
      <c r="F15">
        <v>159</v>
      </c>
      <c r="G15" s="41">
        <f t="shared" si="0"/>
        <v>4.40251572327044E-2</v>
      </c>
    </row>
    <row r="16" spans="1:53" x14ac:dyDescent="0.25">
      <c r="A16" t="str">
        <f>IF(Config!A16 &lt;&gt; "",Config!A16,"")</f>
        <v>basic page</v>
      </c>
      <c r="B16" t="str">
        <f>IF(Config!B16&lt;&gt;"",Config!B16,"")</f>
        <v>cpc.ca: shop &gt; checkout &gt; place order</v>
      </c>
      <c r="D16" t="s">
        <v>110</v>
      </c>
      <c r="E16">
        <v>6</v>
      </c>
      <c r="F16">
        <v>3522</v>
      </c>
      <c r="G16" s="41">
        <f t="shared" si="0"/>
        <v>1.7035775127768314E-3</v>
      </c>
    </row>
    <row r="17" spans="1:7" x14ac:dyDescent="0.25">
      <c r="A17" t="str">
        <f>IF(Config!A17 &lt;&gt; "",Config!A17,"")</f>
        <v>basic page</v>
      </c>
      <c r="B17" t="str">
        <f>IF(Config!B17&lt;&gt;"",Config!B17,"")</f>
        <v>cpc.ca: shop &gt; checkout &gt; order confirmation</v>
      </c>
      <c r="D17" t="s">
        <v>98</v>
      </c>
      <c r="E17">
        <v>6</v>
      </c>
      <c r="F17">
        <v>40</v>
      </c>
      <c r="G17" s="41">
        <f t="shared" si="0"/>
        <v>0.15</v>
      </c>
    </row>
    <row r="18" spans="1:7" x14ac:dyDescent="0.25">
      <c r="A18" t="str">
        <f>IF(Config!A18 &lt;&gt; "",Config!A18,"")</f>
        <v/>
      </c>
      <c r="B18" t="str">
        <f>IF(Config!B18&lt;&gt;"",Config!B18,"")</f>
        <v/>
      </c>
      <c r="D18" t="s">
        <v>87</v>
      </c>
      <c r="E18">
        <v>6</v>
      </c>
      <c r="F18">
        <v>624</v>
      </c>
      <c r="G18" s="41">
        <f t="shared" si="0"/>
        <v>9.6153846153846159E-3</v>
      </c>
    </row>
    <row r="19" spans="1:7" x14ac:dyDescent="0.25">
      <c r="A19" t="str">
        <f>IF(Config!A19 &lt;&gt; "",Config!A19,"")</f>
        <v/>
      </c>
      <c r="B19" t="str">
        <f>IF(Config!B19&lt;&gt;"",Config!B19,"")</f>
        <v/>
      </c>
      <c r="D19" t="s">
        <v>105</v>
      </c>
      <c r="E19">
        <v>6</v>
      </c>
      <c r="F19">
        <v>5136</v>
      </c>
      <c r="G19" s="41">
        <f t="shared" si="0"/>
        <v>1.1682242990654205E-3</v>
      </c>
    </row>
    <row r="20" spans="1:7" x14ac:dyDescent="0.25">
      <c r="A20" t="str">
        <f>IF(Config!A20 &lt;&gt; "",Config!A20,"")</f>
        <v/>
      </c>
      <c r="B20" t="str">
        <f>IF(Config!B20&lt;&gt;"",Config!B20,"")</f>
        <v/>
      </c>
      <c r="D20" t="s">
        <v>96</v>
      </c>
      <c r="E20">
        <v>6</v>
      </c>
      <c r="F20">
        <v>674</v>
      </c>
      <c r="G20" s="41">
        <f t="shared" si="0"/>
        <v>8.9020771513353119E-3</v>
      </c>
    </row>
    <row r="21" spans="1:7" x14ac:dyDescent="0.25">
      <c r="A21" t="str">
        <f>IF(Config!A21 &lt;&gt; "",Config!A21,"")</f>
        <v/>
      </c>
      <c r="B21" t="str">
        <f>IF(Config!B21&lt;&gt;"",Config!B21,"")</f>
        <v/>
      </c>
      <c r="D21" t="s">
        <v>91</v>
      </c>
      <c r="E21">
        <v>5</v>
      </c>
      <c r="F21">
        <v>4193</v>
      </c>
      <c r="G21" s="41">
        <f t="shared" si="0"/>
        <v>1.1924636298592892E-3</v>
      </c>
    </row>
    <row r="22" spans="1:7" x14ac:dyDescent="0.25">
      <c r="A22" t="str">
        <f>IF(Config!A22 &lt;&gt; "",Config!A22,"")</f>
        <v/>
      </c>
      <c r="B22" t="str">
        <f>IF(Config!B22&lt;&gt;"",Config!B22,"")</f>
        <v/>
      </c>
      <c r="D22" t="s">
        <v>111</v>
      </c>
      <c r="E22">
        <v>5</v>
      </c>
      <c r="F22">
        <v>64</v>
      </c>
      <c r="G22" s="41">
        <f t="shared" si="0"/>
        <v>7.8125E-2</v>
      </c>
    </row>
    <row r="23" spans="1:7" x14ac:dyDescent="0.25">
      <c r="A23" t="str">
        <f>IF(Config!A23 &lt;&gt; "",Config!A23,"")</f>
        <v/>
      </c>
      <c r="B23" t="str">
        <f>IF(Config!B23&lt;&gt;"",Config!B23,"")</f>
        <v/>
      </c>
      <c r="D23" t="s">
        <v>97</v>
      </c>
      <c r="E23">
        <v>4</v>
      </c>
      <c r="F23">
        <v>496</v>
      </c>
      <c r="G23" s="41">
        <f t="shared" si="0"/>
        <v>8.0645161290322578E-3</v>
      </c>
    </row>
    <row r="24" spans="1:7" x14ac:dyDescent="0.25">
      <c r="A24" t="str">
        <f>IF(Config!A24 &lt;&gt; "",Config!A24,"")</f>
        <v/>
      </c>
      <c r="B24" t="str">
        <f>IF(Config!B24&lt;&gt;"",Config!B24,"")</f>
        <v/>
      </c>
      <c r="D24" t="s">
        <v>108</v>
      </c>
      <c r="E24">
        <v>4</v>
      </c>
      <c r="F24">
        <v>1230</v>
      </c>
      <c r="G24" s="41">
        <f t="shared" si="0"/>
        <v>3.2520325203252032E-3</v>
      </c>
    </row>
    <row r="25" spans="1:7" x14ac:dyDescent="0.25">
      <c r="A25" t="str">
        <f>IF(Config!A25 &lt;&gt; "",Config!A25,"")</f>
        <v/>
      </c>
      <c r="B25" t="str">
        <f>IF(Config!B25&lt;&gt;"",Config!B25,"")</f>
        <v/>
      </c>
      <c r="D25" t="s">
        <v>112</v>
      </c>
      <c r="E25">
        <v>4</v>
      </c>
      <c r="F25">
        <v>33</v>
      </c>
      <c r="G25" s="41">
        <f t="shared" si="0"/>
        <v>0.12121212121212122</v>
      </c>
    </row>
    <row r="26" spans="1:7" x14ac:dyDescent="0.25">
      <c r="A26" t="str">
        <f>IF(Config!A26 &lt;&gt; "",Config!A26,"")</f>
        <v/>
      </c>
      <c r="B26" t="str">
        <f>IF(Config!B26&lt;&gt;"",Config!B26,"")</f>
        <v/>
      </c>
      <c r="D26" t="s">
        <v>113</v>
      </c>
      <c r="E26">
        <v>4</v>
      </c>
      <c r="F26">
        <v>130</v>
      </c>
      <c r="G26" s="41">
        <f t="shared" si="0"/>
        <v>3.0769230769230771E-2</v>
      </c>
    </row>
    <row r="27" spans="1:7" x14ac:dyDescent="0.25">
      <c r="A27" t="str">
        <f>IF(Config!A27 &lt;&gt; "",Config!A27,"")</f>
        <v/>
      </c>
      <c r="B27" t="str">
        <f>IF(Config!B27&lt;&gt;"",Config!B27,"")</f>
        <v/>
      </c>
      <c r="D27" t="s">
        <v>114</v>
      </c>
      <c r="E27">
        <v>4</v>
      </c>
      <c r="F27">
        <v>29</v>
      </c>
      <c r="G27" s="41">
        <f t="shared" si="0"/>
        <v>0.13793103448275862</v>
      </c>
    </row>
    <row r="28" spans="1:7" x14ac:dyDescent="0.25">
      <c r="A28" t="str">
        <f>IF(Config!A28 &lt;&gt; "",Config!A28,"")</f>
        <v/>
      </c>
      <c r="B28" t="str">
        <f>IF(Config!B28&lt;&gt;"",Config!B28,"")</f>
        <v/>
      </c>
      <c r="D28" t="s">
        <v>78</v>
      </c>
      <c r="E28">
        <v>3</v>
      </c>
      <c r="F28">
        <v>267</v>
      </c>
      <c r="G28" s="41">
        <f t="shared" si="0"/>
        <v>1.1235955056179775E-2</v>
      </c>
    </row>
    <row r="29" spans="1:7" x14ac:dyDescent="0.25">
      <c r="A29" t="str">
        <f>IF(Config!A29 &lt;&gt; "",Config!A29,"")</f>
        <v/>
      </c>
      <c r="B29" t="str">
        <f>IF(Config!B29&lt;&gt;"",Config!B29,"")</f>
        <v/>
      </c>
      <c r="D29" t="s">
        <v>107</v>
      </c>
      <c r="E29">
        <v>3</v>
      </c>
      <c r="F29">
        <v>2191</v>
      </c>
      <c r="G29" s="41">
        <f t="shared" si="0"/>
        <v>1.3692377909630307E-3</v>
      </c>
    </row>
    <row r="30" spans="1:7" x14ac:dyDescent="0.25">
      <c r="A30" t="str">
        <f>IF(Config!A30 &lt;&gt; "",Config!A30,"")</f>
        <v/>
      </c>
      <c r="B30" t="str">
        <f>IF(Config!B30&lt;&gt;"",Config!B30,"")</f>
        <v/>
      </c>
      <c r="D30" t="s">
        <v>109</v>
      </c>
      <c r="E30">
        <v>3</v>
      </c>
      <c r="F30">
        <v>39</v>
      </c>
      <c r="G30" s="41">
        <f t="shared" si="0"/>
        <v>7.6923076923076927E-2</v>
      </c>
    </row>
    <row r="31" spans="1:7" x14ac:dyDescent="0.25">
      <c r="A31" t="str">
        <f>IF(Config!A31 &lt;&gt; "",Config!A31,"")</f>
        <v/>
      </c>
      <c r="B31" t="str">
        <f>IF(Config!B31&lt;&gt;"",Config!B31,"")</f>
        <v/>
      </c>
      <c r="D31" t="s">
        <v>115</v>
      </c>
      <c r="E31">
        <v>3</v>
      </c>
      <c r="F31">
        <v>29</v>
      </c>
      <c r="G31" s="41">
        <f t="shared" si="0"/>
        <v>0.10344827586206896</v>
      </c>
    </row>
    <row r="32" spans="1:7" x14ac:dyDescent="0.25">
      <c r="A32" t="str">
        <f>IF(Config!A32 &lt;&gt; "",Config!A32,"")</f>
        <v/>
      </c>
      <c r="B32" t="str">
        <f>IF(Config!B32&lt;&gt;"",Config!B32,"")</f>
        <v/>
      </c>
      <c r="D32" t="s">
        <v>100</v>
      </c>
      <c r="E32">
        <v>3</v>
      </c>
      <c r="F32">
        <v>2598</v>
      </c>
      <c r="G32" s="41">
        <f t="shared" si="0"/>
        <v>1.1547344110854503E-3</v>
      </c>
    </row>
    <row r="33" spans="1:7" x14ac:dyDescent="0.25">
      <c r="A33" t="str">
        <f>IF(Config!A33 &lt;&gt; "",Config!A33,"")</f>
        <v/>
      </c>
      <c r="B33" t="str">
        <f>IF(Config!B33&lt;&gt;"",Config!B33,"")</f>
        <v/>
      </c>
      <c r="D33" t="s">
        <v>116</v>
      </c>
      <c r="E33">
        <v>3</v>
      </c>
      <c r="F33">
        <v>8194</v>
      </c>
      <c r="G33" s="41">
        <f t="shared" si="0"/>
        <v>3.6612155235538199E-4</v>
      </c>
    </row>
    <row r="34" spans="1:7" x14ac:dyDescent="0.25">
      <c r="A34" t="str">
        <f>IF(Config!A34 &lt;&gt; "",Config!A34,"")</f>
        <v/>
      </c>
      <c r="B34" t="str">
        <f>IF(Config!B34&lt;&gt;"",Config!B34,"")</f>
        <v/>
      </c>
      <c r="D34" t="s">
        <v>117</v>
      </c>
      <c r="E34">
        <v>3</v>
      </c>
      <c r="F34">
        <v>201</v>
      </c>
      <c r="G34" s="41">
        <f t="shared" si="0"/>
        <v>1.4925373134328358E-2</v>
      </c>
    </row>
    <row r="35" spans="1:7" x14ac:dyDescent="0.25">
      <c r="A35" t="str">
        <f>IF(Config!A35 &lt;&gt; "",Config!A35,"")</f>
        <v/>
      </c>
      <c r="B35" t="str">
        <f>IF(Config!B35&lt;&gt;"",Config!B35,"")</f>
        <v/>
      </c>
      <c r="D35" t="s">
        <v>118</v>
      </c>
      <c r="E35">
        <v>2</v>
      </c>
      <c r="F35">
        <v>9</v>
      </c>
      <c r="G35" s="41">
        <f t="shared" si="0"/>
        <v>0.22222222222222221</v>
      </c>
    </row>
    <row r="36" spans="1:7" x14ac:dyDescent="0.25">
      <c r="A36" t="str">
        <f>IF(Config!A36 &lt;&gt; "",Config!A36,"")</f>
        <v/>
      </c>
      <c r="B36" t="str">
        <f>IF(Config!B36&lt;&gt;"",Config!B36,"")</f>
        <v/>
      </c>
      <c r="D36" t="s">
        <v>106</v>
      </c>
      <c r="E36">
        <v>2</v>
      </c>
      <c r="F36">
        <v>14</v>
      </c>
      <c r="G36" s="41">
        <f t="shared" ref="G36:G67" si="1">E36/F36</f>
        <v>0.14285714285714285</v>
      </c>
    </row>
    <row r="37" spans="1:7" x14ac:dyDescent="0.25">
      <c r="A37" t="str">
        <f>IF(Config!A37 &lt;&gt; "",Config!A37,"")</f>
        <v/>
      </c>
      <c r="B37" t="str">
        <f>IF(Config!B37&lt;&gt;"",Config!B37,"")</f>
        <v/>
      </c>
      <c r="D37" t="s">
        <v>119</v>
      </c>
      <c r="E37">
        <v>2</v>
      </c>
      <c r="F37">
        <v>872</v>
      </c>
      <c r="G37" s="41">
        <f t="shared" si="1"/>
        <v>2.2935779816513763E-3</v>
      </c>
    </row>
    <row r="38" spans="1:7" x14ac:dyDescent="0.25">
      <c r="A38" t="str">
        <f>IF(Config!A38 &lt;&gt; "",Config!A38,"")</f>
        <v/>
      </c>
      <c r="B38" t="str">
        <f>IF(Config!B38&lt;&gt;"",Config!B38,"")</f>
        <v/>
      </c>
      <c r="D38" t="s">
        <v>120</v>
      </c>
      <c r="E38">
        <v>2</v>
      </c>
      <c r="F38">
        <v>31</v>
      </c>
      <c r="G38" s="41">
        <f t="shared" si="1"/>
        <v>6.4516129032258063E-2</v>
      </c>
    </row>
    <row r="39" spans="1:7" x14ac:dyDescent="0.25">
      <c r="A39" t="str">
        <f>IF(Config!A39 &lt;&gt; "",Config!A39,"")</f>
        <v/>
      </c>
      <c r="B39" t="str">
        <f>IF(Config!B39&lt;&gt;"",Config!B39,"")</f>
        <v/>
      </c>
      <c r="D39" t="s">
        <v>121</v>
      </c>
      <c r="E39">
        <v>2</v>
      </c>
      <c r="F39">
        <v>47</v>
      </c>
      <c r="G39" s="41">
        <f t="shared" si="1"/>
        <v>4.2553191489361701E-2</v>
      </c>
    </row>
    <row r="40" spans="1:7" x14ac:dyDescent="0.25">
      <c r="A40" t="str">
        <f>IF(Config!A40 &lt;&gt; "",Config!A40,"")</f>
        <v/>
      </c>
      <c r="B40" t="str">
        <f>IF(Config!B40&lt;&gt;"",Config!B40,"")</f>
        <v/>
      </c>
      <c r="D40" t="s">
        <v>122</v>
      </c>
      <c r="E40">
        <v>2</v>
      </c>
      <c r="F40">
        <v>246</v>
      </c>
      <c r="G40" s="41">
        <f t="shared" si="1"/>
        <v>8.130081300813009E-3</v>
      </c>
    </row>
    <row r="41" spans="1:7" x14ac:dyDescent="0.25">
      <c r="A41" t="str">
        <f>IF(Config!A41 &lt;&gt; "",Config!A41,"")</f>
        <v/>
      </c>
      <c r="B41" t="str">
        <f>IF(Config!B41&lt;&gt;"",Config!B41,"")</f>
        <v/>
      </c>
      <c r="D41" t="s">
        <v>95</v>
      </c>
      <c r="E41">
        <v>2</v>
      </c>
      <c r="F41">
        <v>2092</v>
      </c>
      <c r="G41" s="41">
        <f t="shared" si="1"/>
        <v>9.5602294455066918E-4</v>
      </c>
    </row>
    <row r="42" spans="1:7" x14ac:dyDescent="0.25">
      <c r="D42" t="s">
        <v>123</v>
      </c>
      <c r="E42">
        <v>2</v>
      </c>
      <c r="F42">
        <v>373</v>
      </c>
      <c r="G42" s="41">
        <f t="shared" si="1"/>
        <v>5.3619302949061663E-3</v>
      </c>
    </row>
    <row r="43" spans="1:7" x14ac:dyDescent="0.25">
      <c r="D43" t="s">
        <v>124</v>
      </c>
      <c r="E43">
        <v>2</v>
      </c>
      <c r="F43">
        <v>1529</v>
      </c>
      <c r="G43" s="41">
        <f t="shared" si="1"/>
        <v>1.3080444735120995E-3</v>
      </c>
    </row>
    <row r="44" spans="1:7" x14ac:dyDescent="0.25">
      <c r="D44" t="s">
        <v>103</v>
      </c>
      <c r="E44">
        <v>2</v>
      </c>
      <c r="F44">
        <v>11</v>
      </c>
      <c r="G44" s="41">
        <f t="shared" si="1"/>
        <v>0.18181818181818182</v>
      </c>
    </row>
    <row r="45" spans="1:7" x14ac:dyDescent="0.25">
      <c r="D45" t="s">
        <v>99</v>
      </c>
      <c r="E45">
        <v>2</v>
      </c>
      <c r="F45">
        <v>281</v>
      </c>
      <c r="G45" s="41">
        <f t="shared" si="1"/>
        <v>7.1174377224199285E-3</v>
      </c>
    </row>
    <row r="46" spans="1:7" x14ac:dyDescent="0.25">
      <c r="D46" t="s">
        <v>125</v>
      </c>
      <c r="E46">
        <v>2</v>
      </c>
      <c r="F46">
        <v>62</v>
      </c>
      <c r="G46" s="41">
        <f t="shared" si="1"/>
        <v>3.2258064516129031E-2</v>
      </c>
    </row>
    <row r="47" spans="1:7" x14ac:dyDescent="0.25">
      <c r="D47" t="s">
        <v>126</v>
      </c>
      <c r="E47">
        <v>2</v>
      </c>
      <c r="F47">
        <v>16181</v>
      </c>
      <c r="G47" s="41">
        <f t="shared" si="1"/>
        <v>1.2360175514492306E-4</v>
      </c>
    </row>
    <row r="48" spans="1:7" x14ac:dyDescent="0.25">
      <c r="D48" t="s">
        <v>127</v>
      </c>
      <c r="E48">
        <v>2</v>
      </c>
      <c r="F48">
        <v>4</v>
      </c>
      <c r="G48" s="41">
        <f t="shared" si="1"/>
        <v>0.5</v>
      </c>
    </row>
    <row r="49" spans="4:7" x14ac:dyDescent="0.25">
      <c r="D49" t="s">
        <v>128</v>
      </c>
      <c r="E49">
        <v>2</v>
      </c>
      <c r="F49">
        <v>5</v>
      </c>
      <c r="G49" s="41">
        <f t="shared" si="1"/>
        <v>0.4</v>
      </c>
    </row>
    <row r="50" spans="4:7" x14ac:dyDescent="0.25">
      <c r="D50" t="s">
        <v>129</v>
      </c>
      <c r="E50">
        <v>2</v>
      </c>
      <c r="F50">
        <v>26</v>
      </c>
      <c r="G50" s="41">
        <f t="shared" si="1"/>
        <v>7.6923076923076927E-2</v>
      </c>
    </row>
    <row r="51" spans="4:7" x14ac:dyDescent="0.25">
      <c r="D51" t="s">
        <v>130</v>
      </c>
      <c r="E51">
        <v>2</v>
      </c>
      <c r="F51">
        <v>3</v>
      </c>
      <c r="G51" s="41">
        <f t="shared" si="1"/>
        <v>0.66666666666666663</v>
      </c>
    </row>
    <row r="52" spans="4:7" x14ac:dyDescent="0.25">
      <c r="D52" t="s">
        <v>131</v>
      </c>
      <c r="E52">
        <v>2</v>
      </c>
      <c r="F52">
        <v>1774</v>
      </c>
      <c r="G52" s="41">
        <f t="shared" si="1"/>
        <v>1.1273957158962795E-3</v>
      </c>
    </row>
    <row r="53" spans="4:7" x14ac:dyDescent="0.25">
      <c r="D53" t="s">
        <v>132</v>
      </c>
      <c r="E53">
        <v>2</v>
      </c>
      <c r="F53">
        <v>1</v>
      </c>
      <c r="G53" s="41">
        <f t="shared" si="1"/>
        <v>2</v>
      </c>
    </row>
    <row r="54" spans="4:7" x14ac:dyDescent="0.25">
      <c r="D54" t="s">
        <v>133</v>
      </c>
      <c r="E54">
        <v>2</v>
      </c>
      <c r="F54">
        <v>53</v>
      </c>
      <c r="G54" s="41">
        <f t="shared" si="1"/>
        <v>3.7735849056603772E-2</v>
      </c>
    </row>
    <row r="55" spans="4:7" x14ac:dyDescent="0.25">
      <c r="D55" t="s">
        <v>134</v>
      </c>
      <c r="E55">
        <v>2</v>
      </c>
      <c r="F55">
        <v>5</v>
      </c>
      <c r="G55" s="41">
        <f t="shared" si="1"/>
        <v>0.4</v>
      </c>
    </row>
    <row r="56" spans="4:7" x14ac:dyDescent="0.25">
      <c r="D56" t="s">
        <v>135</v>
      </c>
      <c r="E56">
        <v>1</v>
      </c>
      <c r="F56">
        <v>1</v>
      </c>
      <c r="G56" s="41">
        <f t="shared" si="1"/>
        <v>1</v>
      </c>
    </row>
    <row r="57" spans="4:7" x14ac:dyDescent="0.25">
      <c r="D57" t="s">
        <v>136</v>
      </c>
      <c r="E57">
        <v>1</v>
      </c>
      <c r="F57">
        <v>206</v>
      </c>
      <c r="G57" s="41">
        <f t="shared" si="1"/>
        <v>4.8543689320388345E-3</v>
      </c>
    </row>
    <row r="58" spans="4:7" x14ac:dyDescent="0.25">
      <c r="D58" t="s">
        <v>137</v>
      </c>
      <c r="E58">
        <v>1</v>
      </c>
      <c r="F58">
        <v>8765</v>
      </c>
      <c r="G58" s="41">
        <f t="shared" si="1"/>
        <v>1.1409013120365089E-4</v>
      </c>
    </row>
    <row r="59" spans="4:7" x14ac:dyDescent="0.25">
      <c r="D59" t="s">
        <v>138</v>
      </c>
      <c r="E59">
        <v>1</v>
      </c>
      <c r="F59">
        <v>4</v>
      </c>
      <c r="G59" s="41">
        <f t="shared" si="1"/>
        <v>0.25</v>
      </c>
    </row>
    <row r="60" spans="4:7" x14ac:dyDescent="0.25">
      <c r="D60" t="s">
        <v>139</v>
      </c>
      <c r="E60">
        <v>1</v>
      </c>
      <c r="F60">
        <v>36</v>
      </c>
      <c r="G60" s="41">
        <f t="shared" si="1"/>
        <v>2.7777777777777776E-2</v>
      </c>
    </row>
    <row r="61" spans="4:7" x14ac:dyDescent="0.25">
      <c r="D61" t="s">
        <v>140</v>
      </c>
      <c r="E61">
        <v>1</v>
      </c>
      <c r="F61">
        <v>1</v>
      </c>
      <c r="G61" s="41">
        <f t="shared" si="1"/>
        <v>1</v>
      </c>
    </row>
    <row r="62" spans="4:7" x14ac:dyDescent="0.25">
      <c r="D62" t="s">
        <v>141</v>
      </c>
      <c r="E62">
        <v>1</v>
      </c>
      <c r="F62">
        <v>7</v>
      </c>
      <c r="G62" s="41">
        <f t="shared" si="1"/>
        <v>0.14285714285714285</v>
      </c>
    </row>
    <row r="63" spans="4:7" x14ac:dyDescent="0.25">
      <c r="D63" t="s">
        <v>142</v>
      </c>
      <c r="E63">
        <v>1</v>
      </c>
      <c r="F63">
        <v>1</v>
      </c>
      <c r="G63" s="41">
        <f t="shared" si="1"/>
        <v>1</v>
      </c>
    </row>
    <row r="64" spans="4:7" x14ac:dyDescent="0.25">
      <c r="D64" t="s">
        <v>143</v>
      </c>
      <c r="E64">
        <v>1</v>
      </c>
      <c r="F64">
        <v>13</v>
      </c>
      <c r="G64" s="41">
        <f t="shared" si="1"/>
        <v>7.6923076923076927E-2</v>
      </c>
    </row>
    <row r="65" spans="4:7" x14ac:dyDescent="0.25">
      <c r="D65" t="s">
        <v>144</v>
      </c>
      <c r="E65">
        <v>1</v>
      </c>
      <c r="F65">
        <v>22</v>
      </c>
      <c r="G65" s="41">
        <f t="shared" si="1"/>
        <v>4.5454545454545456E-2</v>
      </c>
    </row>
    <row r="66" spans="4:7" x14ac:dyDescent="0.25">
      <c r="D66" t="s">
        <v>145</v>
      </c>
      <c r="E66">
        <v>1</v>
      </c>
      <c r="F66">
        <v>6686</v>
      </c>
      <c r="G66" s="41">
        <f t="shared" si="1"/>
        <v>1.4956625785222854E-4</v>
      </c>
    </row>
    <row r="67" spans="4:7" x14ac:dyDescent="0.25">
      <c r="D67" t="s">
        <v>146</v>
      </c>
      <c r="E67">
        <v>1</v>
      </c>
      <c r="F67">
        <v>10</v>
      </c>
      <c r="G67" s="41">
        <f t="shared" si="1"/>
        <v>0.1</v>
      </c>
    </row>
    <row r="68" spans="4:7" x14ac:dyDescent="0.25">
      <c r="D68" t="s">
        <v>102</v>
      </c>
      <c r="E68">
        <v>1</v>
      </c>
      <c r="F68">
        <v>323</v>
      </c>
      <c r="G68" s="41">
        <f t="shared" ref="G68:G99" si="2">E68/F68</f>
        <v>3.0959752321981426E-3</v>
      </c>
    </row>
    <row r="69" spans="4:7" x14ac:dyDescent="0.25">
      <c r="D69" t="s">
        <v>147</v>
      </c>
      <c r="E69">
        <v>1</v>
      </c>
      <c r="F69">
        <v>11115</v>
      </c>
      <c r="G69" s="41">
        <f t="shared" si="2"/>
        <v>8.9968511021142601E-5</v>
      </c>
    </row>
    <row r="70" spans="4:7" x14ac:dyDescent="0.25">
      <c r="D70" t="s">
        <v>148</v>
      </c>
      <c r="E70">
        <v>1</v>
      </c>
      <c r="F70">
        <v>812</v>
      </c>
      <c r="G70" s="41">
        <f t="shared" si="2"/>
        <v>1.2315270935960591E-3</v>
      </c>
    </row>
    <row r="71" spans="4:7" x14ac:dyDescent="0.25">
      <c r="D71" t="s">
        <v>149</v>
      </c>
      <c r="E71">
        <v>1</v>
      </c>
      <c r="F71">
        <v>16</v>
      </c>
      <c r="G71" s="41">
        <f t="shared" si="2"/>
        <v>6.25E-2</v>
      </c>
    </row>
    <row r="72" spans="4:7" x14ac:dyDescent="0.25">
      <c r="D72" t="s">
        <v>150</v>
      </c>
      <c r="E72">
        <v>1</v>
      </c>
      <c r="F72">
        <v>76263</v>
      </c>
      <c r="G72" s="41">
        <f t="shared" si="2"/>
        <v>1.3112518521432411E-5</v>
      </c>
    </row>
    <row r="73" spans="4:7" x14ac:dyDescent="0.25">
      <c r="D73" t="s">
        <v>151</v>
      </c>
      <c r="E73">
        <v>1</v>
      </c>
      <c r="F73">
        <v>1</v>
      </c>
      <c r="G73" s="41">
        <f t="shared" si="2"/>
        <v>1</v>
      </c>
    </row>
    <row r="74" spans="4:7" x14ac:dyDescent="0.25">
      <c r="D74" t="s">
        <v>152</v>
      </c>
      <c r="E74">
        <v>1</v>
      </c>
      <c r="F74">
        <v>8</v>
      </c>
      <c r="G74" s="41">
        <f t="shared" si="2"/>
        <v>0.125</v>
      </c>
    </row>
    <row r="75" spans="4:7" x14ac:dyDescent="0.25">
      <c r="D75" t="s">
        <v>153</v>
      </c>
      <c r="E75">
        <v>1</v>
      </c>
      <c r="F75">
        <v>2</v>
      </c>
      <c r="G75" s="41">
        <f t="shared" si="2"/>
        <v>0.5</v>
      </c>
    </row>
    <row r="76" spans="4:7" x14ac:dyDescent="0.25">
      <c r="D76" t="s">
        <v>154</v>
      </c>
      <c r="E76">
        <v>1</v>
      </c>
      <c r="F76">
        <v>32</v>
      </c>
      <c r="G76" s="41">
        <f t="shared" si="2"/>
        <v>3.125E-2</v>
      </c>
    </row>
    <row r="77" spans="4:7" x14ac:dyDescent="0.25">
      <c r="D77" t="s">
        <v>155</v>
      </c>
      <c r="E77">
        <v>1</v>
      </c>
      <c r="F77">
        <v>3</v>
      </c>
      <c r="G77" s="41">
        <f t="shared" si="2"/>
        <v>0.33333333333333331</v>
      </c>
    </row>
    <row r="78" spans="4:7" x14ac:dyDescent="0.25">
      <c r="D78" t="s">
        <v>156</v>
      </c>
      <c r="E78">
        <v>1</v>
      </c>
      <c r="F78">
        <v>98</v>
      </c>
      <c r="G78" s="41">
        <f t="shared" si="2"/>
        <v>1.020408163265306E-2</v>
      </c>
    </row>
    <row r="79" spans="4:7" x14ac:dyDescent="0.25">
      <c r="D79" t="s">
        <v>157</v>
      </c>
      <c r="E79">
        <v>1</v>
      </c>
      <c r="F79">
        <v>5</v>
      </c>
      <c r="G79" s="41">
        <f t="shared" si="2"/>
        <v>0.2</v>
      </c>
    </row>
    <row r="80" spans="4:7" x14ac:dyDescent="0.25">
      <c r="D80" t="s">
        <v>158</v>
      </c>
      <c r="E80">
        <v>1</v>
      </c>
      <c r="F80">
        <v>2</v>
      </c>
      <c r="G80" s="41">
        <f t="shared" si="2"/>
        <v>0.5</v>
      </c>
    </row>
    <row r="81" spans="4:7" x14ac:dyDescent="0.25">
      <c r="D81" t="s">
        <v>159</v>
      </c>
      <c r="E81">
        <v>1</v>
      </c>
      <c r="F81">
        <v>3</v>
      </c>
      <c r="G81" s="41">
        <f t="shared" si="2"/>
        <v>0.33333333333333331</v>
      </c>
    </row>
    <row r="82" spans="4:7" x14ac:dyDescent="0.25">
      <c r="D82" t="s">
        <v>160</v>
      </c>
      <c r="E82">
        <v>1</v>
      </c>
      <c r="F82">
        <v>1</v>
      </c>
      <c r="G82" s="41">
        <f t="shared" si="2"/>
        <v>1</v>
      </c>
    </row>
    <row r="83" spans="4:7" x14ac:dyDescent="0.25">
      <c r="D83" t="s">
        <v>161</v>
      </c>
      <c r="E83">
        <v>1</v>
      </c>
      <c r="F83">
        <v>1</v>
      </c>
      <c r="G83" s="41">
        <f t="shared" si="2"/>
        <v>1</v>
      </c>
    </row>
    <row r="84" spans="4:7" x14ac:dyDescent="0.25">
      <c r="D84" t="s">
        <v>162</v>
      </c>
      <c r="E84">
        <v>1</v>
      </c>
      <c r="F84">
        <v>1</v>
      </c>
      <c r="G84" s="41">
        <f t="shared" si="2"/>
        <v>1</v>
      </c>
    </row>
    <row r="85" spans="4:7" x14ac:dyDescent="0.25">
      <c r="D85" t="s">
        <v>163</v>
      </c>
      <c r="E85">
        <v>1</v>
      </c>
      <c r="F85">
        <v>1</v>
      </c>
      <c r="G85" s="41">
        <f t="shared" si="2"/>
        <v>1</v>
      </c>
    </row>
    <row r="86" spans="4:7" x14ac:dyDescent="0.25">
      <c r="D86" t="s">
        <v>104</v>
      </c>
      <c r="E86">
        <v>1</v>
      </c>
      <c r="F86">
        <v>2295</v>
      </c>
      <c r="G86" s="41">
        <f t="shared" si="2"/>
        <v>4.3572984749455336E-4</v>
      </c>
    </row>
    <row r="87" spans="4:7" x14ac:dyDescent="0.25">
      <c r="D87" t="s">
        <v>164</v>
      </c>
      <c r="E87">
        <v>1</v>
      </c>
      <c r="F87">
        <v>3</v>
      </c>
      <c r="G87" s="41">
        <f t="shared" si="2"/>
        <v>0.33333333333333331</v>
      </c>
    </row>
    <row r="88" spans="4:7" x14ac:dyDescent="0.25">
      <c r="D88" t="s">
        <v>165</v>
      </c>
      <c r="E88">
        <v>1</v>
      </c>
      <c r="F88">
        <v>2</v>
      </c>
      <c r="G88" s="41">
        <f t="shared" si="2"/>
        <v>0.5</v>
      </c>
    </row>
    <row r="89" spans="4:7" x14ac:dyDescent="0.25">
      <c r="D89" t="s">
        <v>166</v>
      </c>
      <c r="E89">
        <v>1</v>
      </c>
      <c r="F89">
        <v>44</v>
      </c>
      <c r="G89" s="41">
        <f t="shared" si="2"/>
        <v>2.2727272727272728E-2</v>
      </c>
    </row>
    <row r="90" spans="4:7" x14ac:dyDescent="0.25">
      <c r="D90" t="s">
        <v>167</v>
      </c>
      <c r="E90">
        <v>1</v>
      </c>
      <c r="F90">
        <v>8</v>
      </c>
      <c r="G90" s="41">
        <f t="shared" si="2"/>
        <v>0.125</v>
      </c>
    </row>
    <row r="91" spans="4:7" x14ac:dyDescent="0.25">
      <c r="D91" t="s">
        <v>168</v>
      </c>
      <c r="E91">
        <v>1</v>
      </c>
      <c r="F91">
        <v>2</v>
      </c>
      <c r="G91" s="41">
        <f t="shared" si="2"/>
        <v>0.5</v>
      </c>
    </row>
    <row r="92" spans="4:7" x14ac:dyDescent="0.25">
      <c r="D92" t="s">
        <v>169</v>
      </c>
      <c r="E92">
        <v>1</v>
      </c>
      <c r="F92">
        <v>4</v>
      </c>
      <c r="G92" s="41">
        <f t="shared" si="2"/>
        <v>0.25</v>
      </c>
    </row>
    <row r="93" spans="4:7" x14ac:dyDescent="0.25">
      <c r="D93" t="s">
        <v>170</v>
      </c>
      <c r="E93">
        <v>1</v>
      </c>
      <c r="F93">
        <v>13</v>
      </c>
      <c r="G93" s="41">
        <f t="shared" si="2"/>
        <v>7.6923076923076927E-2</v>
      </c>
    </row>
    <row r="94" spans="4:7" x14ac:dyDescent="0.25">
      <c r="D94" t="s">
        <v>171</v>
      </c>
      <c r="E94">
        <v>1</v>
      </c>
      <c r="F94">
        <v>20</v>
      </c>
      <c r="G94" s="41">
        <f t="shared" si="2"/>
        <v>0.05</v>
      </c>
    </row>
    <row r="95" spans="4:7" x14ac:dyDescent="0.25">
      <c r="D95" t="s">
        <v>172</v>
      </c>
      <c r="E95">
        <v>1</v>
      </c>
      <c r="F95">
        <v>2</v>
      </c>
      <c r="G95" s="41">
        <f t="shared" si="2"/>
        <v>0.5</v>
      </c>
    </row>
    <row r="96" spans="4:7" x14ac:dyDescent="0.25">
      <c r="D96" t="s">
        <v>173</v>
      </c>
      <c r="E96">
        <v>1</v>
      </c>
      <c r="F96">
        <v>1</v>
      </c>
      <c r="G96" s="41">
        <f t="shared" si="2"/>
        <v>1</v>
      </c>
    </row>
    <row r="97" spans="4:7" x14ac:dyDescent="0.25">
      <c r="D97" t="s">
        <v>174</v>
      </c>
      <c r="E97">
        <v>1</v>
      </c>
      <c r="F97">
        <v>2</v>
      </c>
      <c r="G97" s="41">
        <f t="shared" si="2"/>
        <v>0.5</v>
      </c>
    </row>
    <row r="98" spans="4:7" x14ac:dyDescent="0.25">
      <c r="D98" t="s">
        <v>175</v>
      </c>
      <c r="E98">
        <v>1</v>
      </c>
      <c r="F98">
        <v>4</v>
      </c>
      <c r="G98" s="41">
        <f t="shared" si="2"/>
        <v>0.25</v>
      </c>
    </row>
    <row r="99" spans="4:7" x14ac:dyDescent="0.25">
      <c r="D99" t="s">
        <v>176</v>
      </c>
      <c r="E99">
        <v>1</v>
      </c>
      <c r="F99">
        <v>1</v>
      </c>
      <c r="G99" s="41">
        <f t="shared" si="2"/>
        <v>1</v>
      </c>
    </row>
    <row r="100" spans="4:7" x14ac:dyDescent="0.25">
      <c r="D100" t="s">
        <v>177</v>
      </c>
      <c r="E100">
        <v>1</v>
      </c>
      <c r="F100">
        <v>52</v>
      </c>
      <c r="G100" s="41">
        <f>E100/F100</f>
        <v>1.9230769230769232E-2</v>
      </c>
    </row>
    <row r="101" spans="4:7" x14ac:dyDescent="0.25">
      <c r="D101" t="s">
        <v>178</v>
      </c>
      <c r="E101">
        <v>1</v>
      </c>
      <c r="F101">
        <v>1</v>
      </c>
      <c r="G101" s="41">
        <f>E101/F101</f>
        <v>1</v>
      </c>
    </row>
    <row r="102" spans="4:7" x14ac:dyDescent="0.25">
      <c r="D102" t="s">
        <v>86</v>
      </c>
      <c r="E102">
        <v>1</v>
      </c>
      <c r="F102">
        <v>220</v>
      </c>
      <c r="G102" s="41">
        <f>E102/F102</f>
        <v>4.5454545454545452E-3</v>
      </c>
    </row>
  </sheetData>
  <phoneticPr fontId="3" type="noConversion"/>
  <pageMargins left="0.75" right="0.75" top="1" bottom="1" header="0.5" footer="0.5"/>
  <headerFooter alignWithMargins="0"/>
  <customProperties>
    <customPr name="ORB_SHEETNAME"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7B4D-47D3-4C43-B994-7EF46D5ECA0F}">
  <dimension ref="A1:AB321"/>
  <sheetViews>
    <sheetView workbookViewId="0">
      <selection activeCell="P31" sqref="P31:AA31"/>
    </sheetView>
  </sheetViews>
  <sheetFormatPr defaultRowHeight="13.2" x14ac:dyDescent="0.25"/>
  <cols>
    <col min="1" max="1" width="13.88671875" customWidth="1"/>
    <col min="2" max="2" width="40.88671875" customWidth="1"/>
    <col min="3" max="3" width="2.109375" style="3" customWidth="1"/>
    <col min="4" max="4" width="8" style="27" hidden="1" customWidth="1"/>
    <col min="5" max="5" width="8.44140625" style="27" hidden="1" customWidth="1"/>
    <col min="6" max="6" width="10.109375" style="27" bestFit="1" customWidth="1"/>
    <col min="7" max="7" width="7.5546875" style="27" hidden="1" customWidth="1"/>
    <col min="8" max="8" width="0" style="27" hidden="1" customWidth="1"/>
    <col min="9" max="9" width="2.109375" style="3" customWidth="1"/>
    <col min="10" max="10" width="10.109375" hidden="1" customWidth="1"/>
    <col min="11" max="11" width="11" customWidth="1"/>
    <col min="12" max="12" width="37.44140625" customWidth="1"/>
    <col min="13" max="13" width="2.109375" style="3" customWidth="1"/>
    <col min="14" max="14" width="8" hidden="1" customWidth="1"/>
    <col min="15" max="15" width="8.44140625" hidden="1" customWidth="1"/>
    <col min="16" max="16" width="10.109375" style="27" bestFit="1" customWidth="1"/>
    <col min="17" max="17" width="7.5546875" style="27" customWidth="1"/>
    <col min="18" max="18" width="9.109375" style="27" customWidth="1"/>
    <col min="19" max="19" width="2.109375" style="3" customWidth="1"/>
    <col min="20" max="20" width="10.109375" hidden="1" customWidth="1"/>
    <col min="21" max="21" width="10.109375" bestFit="1" customWidth="1"/>
    <col min="22" max="22" width="41.6640625" customWidth="1"/>
    <col min="23" max="23" width="2.109375" style="3" customWidth="1"/>
    <col min="24" max="24" width="10.109375" style="27" bestFit="1" customWidth="1"/>
    <col min="25" max="25" width="2.109375" style="3" customWidth="1"/>
    <col min="26" max="26" width="10.5546875" customWidth="1"/>
    <col min="27" max="27" width="38.33203125" customWidth="1"/>
    <col min="28" max="28" width="2.109375" style="3" customWidth="1"/>
  </cols>
  <sheetData>
    <row r="1" spans="1:27" x14ac:dyDescent="0.25">
      <c r="A1" t="s">
        <v>0</v>
      </c>
      <c r="B1" t="str">
        <f>Config!B1</f>
        <v>canadapostca-global</v>
      </c>
      <c r="D1" s="25"/>
      <c r="E1" s="25"/>
      <c r="F1" s="25"/>
      <c r="G1" s="25"/>
      <c r="H1" s="25"/>
      <c r="J1" s="3"/>
      <c r="K1" s="3"/>
      <c r="L1" s="3"/>
      <c r="N1" s="3"/>
      <c r="O1" s="3"/>
      <c r="P1" s="25"/>
      <c r="Q1" s="25"/>
      <c r="R1" s="25"/>
      <c r="U1" s="3"/>
      <c r="V1" s="3"/>
      <c r="X1" s="25"/>
      <c r="Z1" s="3"/>
      <c r="AA1" s="3"/>
    </row>
    <row r="2" spans="1:27" x14ac:dyDescent="0.25">
      <c r="A2" s="3"/>
      <c r="B2" s="3"/>
      <c r="D2" s="25"/>
      <c r="E2" s="25"/>
      <c r="F2" s="25"/>
      <c r="G2" s="25"/>
      <c r="H2" s="25"/>
      <c r="J2" s="3"/>
      <c r="K2" s="3"/>
      <c r="L2" s="3"/>
      <c r="N2" s="3"/>
      <c r="O2" s="3"/>
      <c r="P2" s="25"/>
      <c r="Q2" s="25"/>
      <c r="R2" s="25"/>
      <c r="U2" s="3"/>
      <c r="V2" s="3"/>
      <c r="X2" s="25"/>
      <c r="Z2" s="3"/>
      <c r="AA2" s="3"/>
    </row>
    <row r="3" spans="1:27" x14ac:dyDescent="0.25">
      <c r="A3" t="s">
        <v>5</v>
      </c>
      <c r="B3" s="4">
        <f>Config!B3</f>
        <v>40269</v>
      </c>
      <c r="D3" s="25"/>
      <c r="E3" s="25"/>
      <c r="F3" s="25"/>
      <c r="G3" s="25"/>
      <c r="H3" s="25"/>
      <c r="J3" s="3"/>
      <c r="K3" s="3"/>
      <c r="L3" s="3"/>
      <c r="N3" s="3"/>
      <c r="O3" s="3"/>
      <c r="P3" s="25"/>
      <c r="Q3" s="25"/>
      <c r="R3" s="25"/>
      <c r="U3" s="3"/>
      <c r="V3" s="3"/>
      <c r="X3" s="25"/>
      <c r="Z3" s="3"/>
      <c r="AA3" s="3"/>
    </row>
    <row r="4" spans="1:27" x14ac:dyDescent="0.25">
      <c r="A4" t="s">
        <v>6</v>
      </c>
      <c r="B4" s="4">
        <f>Config!B4</f>
        <v>40999</v>
      </c>
      <c r="D4" s="25"/>
      <c r="E4" s="25"/>
      <c r="F4" s="25"/>
      <c r="G4" s="25"/>
      <c r="H4" s="25"/>
      <c r="J4" s="3"/>
      <c r="K4" s="3"/>
      <c r="L4" s="3"/>
      <c r="N4" s="3"/>
      <c r="O4" s="3"/>
      <c r="P4" s="25"/>
      <c r="Q4" s="25"/>
      <c r="R4" s="25"/>
      <c r="U4" s="3"/>
      <c r="V4" s="3"/>
      <c r="X4" s="25"/>
      <c r="Z4" s="3"/>
      <c r="AA4" s="3"/>
    </row>
    <row r="5" spans="1:27" x14ac:dyDescent="0.25">
      <c r="A5" s="3"/>
      <c r="B5" s="3"/>
      <c r="D5" s="25"/>
      <c r="E5" s="25"/>
      <c r="F5" s="25"/>
      <c r="G5" s="25"/>
      <c r="H5" s="25"/>
      <c r="K5" s="82" t="str">
        <f>"Weekly Unique Visitors: " &amp; ORB_V1_sh4_111111110644720</f>
        <v>Weekly Unique Visitors: cpc.ca: shop</v>
      </c>
      <c r="L5" s="82"/>
      <c r="N5" s="3"/>
      <c r="O5" s="3"/>
      <c r="P5" s="25"/>
      <c r="Q5" s="25"/>
      <c r="R5" s="25"/>
      <c r="U5" s="82" t="str">
        <f>"Monthly Unique Visitors: " &amp; ORB_V1_sh4_111111110644720</f>
        <v>Monthly Unique Visitors: cpc.ca: shop</v>
      </c>
      <c r="V5" s="82"/>
      <c r="X5" s="25"/>
      <c r="Z5" s="82" t="str">
        <f>"Yearly Unique Visitors: " &amp; ORB_V1_sh4_111111110644720</f>
        <v>Yearly Unique Visitors: cpc.ca: shop</v>
      </c>
      <c r="AA5" s="82"/>
    </row>
    <row r="6" spans="1:27" x14ac:dyDescent="0.25">
      <c r="A6" s="1" t="s">
        <v>7</v>
      </c>
      <c r="D6" s="26" t="s">
        <v>9</v>
      </c>
      <c r="E6" s="26" t="s">
        <v>8</v>
      </c>
      <c r="F6" s="26" t="s">
        <v>65</v>
      </c>
      <c r="G6" s="26" t="s">
        <v>4</v>
      </c>
      <c r="H6" s="26" t="s">
        <v>2</v>
      </c>
      <c r="J6" s="1"/>
      <c r="K6" s="2" t="s">
        <v>11</v>
      </c>
      <c r="L6" s="2" t="s">
        <v>24</v>
      </c>
      <c r="N6" s="2" t="s">
        <v>9</v>
      </c>
      <c r="O6" s="2" t="s">
        <v>8</v>
      </c>
      <c r="P6" s="26" t="s">
        <v>3</v>
      </c>
      <c r="Q6" s="26" t="s">
        <v>4</v>
      </c>
      <c r="R6" s="26" t="s">
        <v>2</v>
      </c>
      <c r="U6" s="1" t="s">
        <v>11</v>
      </c>
      <c r="V6" s="2" t="s">
        <v>24</v>
      </c>
      <c r="X6" s="26" t="s">
        <v>2</v>
      </c>
      <c r="Z6" t="s">
        <v>11</v>
      </c>
      <c r="AA6" s="6" t="s">
        <v>24</v>
      </c>
    </row>
    <row r="7" spans="1:27" x14ac:dyDescent="0.25">
      <c r="A7" t="str">
        <f>IF(Config!A7 &lt;&gt; "",Config!A7,"")</f>
        <v>ss1</v>
      </c>
      <c r="B7" t="str">
        <f>IF(Config!B7&lt;&gt;"",Config!B7,"")</f>
        <v>cpc.ca: shop</v>
      </c>
      <c r="D7" s="28">
        <f>IF(K7&lt;&gt;"",1+INT((K7-(DATE(YEAR(K7),1,2)-WEEKDAY(DATE(YEAR(K7),1,1))))/7),"")</f>
        <v>40</v>
      </c>
      <c r="E7" s="27" t="str">
        <f>IF(K7&lt;&gt;"",TEXT(K7,"ddd"),"")</f>
        <v>Fri</v>
      </c>
      <c r="F7" s="27">
        <f>K7</f>
        <v>40452</v>
      </c>
      <c r="G7" s="27">
        <f>IF(K7&lt;&gt;"",DAY(K7),"")</f>
        <v>1</v>
      </c>
      <c r="H7" s="27">
        <f>IF(K7&lt;&gt;"",YEAR(K7),"")</f>
        <v>2010</v>
      </c>
      <c r="K7" s="5">
        <v>40452</v>
      </c>
      <c r="L7">
        <v>0</v>
      </c>
      <c r="N7" s="7" t="str">
        <f>IF(W7&lt;&gt;"",1+INT((W7-(DATE(YEAR(W7),1,2)-WEEKDAY(DATE(YEAR(W7),1,1))))/7),"")</f>
        <v/>
      </c>
      <c r="O7" s="6" t="str">
        <f>IF(U7&lt;&gt;"",TEXT(U7,"ddd"),"")</f>
        <v>Fri</v>
      </c>
      <c r="P7" s="27">
        <f>U7</f>
        <v>40452</v>
      </c>
      <c r="Q7" s="27">
        <f>IF(U7&lt;&gt;"",DAY(U7),"")</f>
        <v>1</v>
      </c>
      <c r="R7" s="27">
        <f>IF(U7&lt;&gt;"",YEAR(U7),"")</f>
        <v>2010</v>
      </c>
      <c r="T7" s="5"/>
      <c r="U7" s="5">
        <v>40452</v>
      </c>
      <c r="V7">
        <v>0</v>
      </c>
      <c r="X7" s="27">
        <f>Z7</f>
        <v>40452</v>
      </c>
      <c r="Z7" s="5">
        <v>40452</v>
      </c>
      <c r="AA7">
        <v>0</v>
      </c>
    </row>
    <row r="8" spans="1:27" x14ac:dyDescent="0.25">
      <c r="A8" t="str">
        <f>IF(Config!A8 &lt;&gt; "",Config!A8,"")</f>
        <v>ss2</v>
      </c>
      <c r="B8" t="str">
        <f>IF(Config!B8&lt;&gt;"",Config!B8,"")</f>
        <v>cpc.ca: shop &gt; business</v>
      </c>
      <c r="D8" s="28">
        <f t="shared" ref="D8:D71" si="0">IF(K8&lt;&gt;"",1+INT((K8-(DATE(YEAR(K8),1,2)-WEEKDAY(DATE(YEAR(K8),1,1))))/7),"")</f>
        <v>41</v>
      </c>
      <c r="E8" s="27" t="str">
        <f t="shared" ref="E8:E71" si="1">IF(K8&lt;&gt;"",TEXT(K8,"ddd"),"")</f>
        <v>Sun</v>
      </c>
      <c r="F8" s="27">
        <f t="shared" ref="F8:F71" si="2">K8</f>
        <v>40454</v>
      </c>
      <c r="G8" s="27">
        <f t="shared" ref="G8:G71" si="3">IF(K8&lt;&gt;"",DAY(K8),"")</f>
        <v>3</v>
      </c>
      <c r="H8" s="27">
        <f t="shared" ref="H8:H71" si="4">IF(K8&lt;&gt;"",YEAR(K8),"")</f>
        <v>2010</v>
      </c>
      <c r="J8" s="5"/>
      <c r="K8" s="5">
        <v>40454</v>
      </c>
      <c r="L8">
        <v>0</v>
      </c>
      <c r="N8" s="7" t="str">
        <f t="shared" ref="N8:N71" si="5">IF(W8&lt;&gt;"",1+INT((W8-(DATE(YEAR(W8),1,2)-WEEKDAY(DATE(YEAR(W8),1,1))))/7),"")</f>
        <v/>
      </c>
      <c r="O8" s="6" t="str">
        <f t="shared" ref="O8:O71" si="6">IF(W8&lt;&gt;"",TEXT(W8,"ddd"),"")</f>
        <v/>
      </c>
      <c r="P8" s="27">
        <f t="shared" ref="P8:P30" si="7">U8</f>
        <v>40483</v>
      </c>
      <c r="Q8" s="27">
        <f t="shared" ref="Q8:Q17" si="8">IF(U8&lt;&gt;"",DAY(U8),"")</f>
        <v>1</v>
      </c>
      <c r="R8" s="27">
        <f t="shared" ref="R8:R17" si="9">IF(U8&lt;&gt;"",YEAR(U8),"")</f>
        <v>2010</v>
      </c>
      <c r="T8" s="5"/>
      <c r="U8" s="5">
        <v>40483</v>
      </c>
      <c r="V8">
        <v>0</v>
      </c>
      <c r="X8" s="27">
        <f>Z8</f>
        <v>40544</v>
      </c>
      <c r="Z8" s="5">
        <v>40544</v>
      </c>
      <c r="AA8" s="8">
        <v>398444</v>
      </c>
    </row>
    <row r="9" spans="1:27" x14ac:dyDescent="0.25">
      <c r="A9" t="str">
        <f>IF(Config!A9 &lt;&gt; "",Config!A9,"")</f>
        <v>ss2</v>
      </c>
      <c r="B9" t="str">
        <f>IF(Config!B9&lt;&gt;"",Config!B9,"")</f>
        <v>cpc.ca: shop &gt; commercial</v>
      </c>
      <c r="D9" s="28">
        <f t="shared" si="0"/>
        <v>42</v>
      </c>
      <c r="E9" s="27" t="str">
        <f t="shared" si="1"/>
        <v>Sun</v>
      </c>
      <c r="F9" s="27">
        <f t="shared" si="2"/>
        <v>40461</v>
      </c>
      <c r="G9" s="27">
        <f t="shared" si="3"/>
        <v>10</v>
      </c>
      <c r="H9" s="27">
        <f t="shared" si="4"/>
        <v>2010</v>
      </c>
      <c r="J9" s="5"/>
      <c r="K9" s="5">
        <v>40461</v>
      </c>
      <c r="L9">
        <v>0</v>
      </c>
      <c r="N9" s="7" t="str">
        <f t="shared" si="5"/>
        <v/>
      </c>
      <c r="O9" s="6" t="str">
        <f t="shared" si="6"/>
        <v/>
      </c>
      <c r="P9" s="27">
        <f t="shared" si="7"/>
        <v>40513</v>
      </c>
      <c r="Q9" s="27">
        <f t="shared" si="8"/>
        <v>1</v>
      </c>
      <c r="R9" s="27">
        <f t="shared" si="9"/>
        <v>2010</v>
      </c>
      <c r="T9" s="5"/>
      <c r="U9" s="5">
        <v>40513</v>
      </c>
      <c r="V9">
        <v>0</v>
      </c>
      <c r="X9" s="27">
        <f>Z9</f>
        <v>40909</v>
      </c>
      <c r="Z9" s="5">
        <v>40909</v>
      </c>
      <c r="AA9">
        <v>1316992</v>
      </c>
    </row>
    <row r="10" spans="1:27" x14ac:dyDescent="0.25">
      <c r="A10" t="str">
        <f>IF(Config!A10 &lt;&gt; "",Config!A10,"")</f>
        <v>ss2</v>
      </c>
      <c r="B10" t="str">
        <f>IF(Config!B10&lt;&gt;"",Config!B10,"")</f>
        <v>cpc.ca: shop &gt; personal</v>
      </c>
      <c r="D10" s="28">
        <f t="shared" si="0"/>
        <v>43</v>
      </c>
      <c r="E10" s="27" t="str">
        <f t="shared" si="1"/>
        <v>Sun</v>
      </c>
      <c r="F10" s="27">
        <f t="shared" si="2"/>
        <v>40468</v>
      </c>
      <c r="G10" s="27">
        <f t="shared" si="3"/>
        <v>17</v>
      </c>
      <c r="H10" s="27">
        <f t="shared" si="4"/>
        <v>2010</v>
      </c>
      <c r="J10" s="5"/>
      <c r="K10" s="5">
        <v>40468</v>
      </c>
      <c r="L10">
        <v>0</v>
      </c>
      <c r="N10" s="7" t="str">
        <f t="shared" si="5"/>
        <v/>
      </c>
      <c r="O10" s="6" t="str">
        <f t="shared" si="6"/>
        <v/>
      </c>
      <c r="P10" s="27">
        <f t="shared" si="7"/>
        <v>40544</v>
      </c>
      <c r="Q10" s="27">
        <f t="shared" si="8"/>
        <v>1</v>
      </c>
      <c r="R10" s="27">
        <f t="shared" si="9"/>
        <v>2011</v>
      </c>
      <c r="T10" s="5"/>
      <c r="U10" s="5">
        <v>40544</v>
      </c>
      <c r="V10">
        <v>0</v>
      </c>
      <c r="X10" s="27" t="str">
        <f t="shared" ref="X10:X18" si="10">IF(AA10&lt;&gt;"",YEAR(AA10),"")</f>
        <v/>
      </c>
    </row>
    <row r="11" spans="1:27" x14ac:dyDescent="0.25">
      <c r="A11" t="str">
        <f>IF(Config!A11 &lt;&gt; "",Config!A11,"")</f>
        <v>ss2</v>
      </c>
      <c r="B11" t="str">
        <f>IF(Config!B11&lt;&gt;"",Config!B11,"")</f>
        <v>cpc.ca: shop &gt; collecting</v>
      </c>
      <c r="D11" s="28">
        <f t="shared" si="0"/>
        <v>44</v>
      </c>
      <c r="E11" s="27" t="str">
        <f t="shared" si="1"/>
        <v>Sun</v>
      </c>
      <c r="F11" s="27">
        <f t="shared" si="2"/>
        <v>40475</v>
      </c>
      <c r="G11" s="27">
        <f t="shared" si="3"/>
        <v>24</v>
      </c>
      <c r="H11" s="27">
        <f t="shared" si="4"/>
        <v>2010</v>
      </c>
      <c r="J11" s="5"/>
      <c r="K11" s="5">
        <v>40475</v>
      </c>
      <c r="L11">
        <v>0</v>
      </c>
      <c r="N11" s="7" t="str">
        <f t="shared" si="5"/>
        <v/>
      </c>
      <c r="O11" s="6" t="str">
        <f t="shared" si="6"/>
        <v/>
      </c>
      <c r="P11" s="27">
        <f t="shared" si="7"/>
        <v>40575</v>
      </c>
      <c r="Q11" s="27">
        <f t="shared" si="8"/>
        <v>1</v>
      </c>
      <c r="R11" s="27">
        <f t="shared" si="9"/>
        <v>2011</v>
      </c>
      <c r="T11" s="5"/>
      <c r="U11" s="5">
        <v>40575</v>
      </c>
      <c r="V11">
        <v>0</v>
      </c>
      <c r="X11" s="27" t="str">
        <f t="shared" si="10"/>
        <v/>
      </c>
    </row>
    <row r="12" spans="1:27" x14ac:dyDescent="0.25">
      <c r="A12" t="str">
        <f>IF(Config!A12 &lt;&gt; "",Config!A12,"")</f>
        <v>site</v>
      </c>
      <c r="B12" t="str">
        <f>IF(Config!B12&lt;&gt;"",Config!B12,"")</f>
        <v>cpc.ca</v>
      </c>
      <c r="D12" s="28">
        <f t="shared" si="0"/>
        <v>45</v>
      </c>
      <c r="E12" s="27" t="str">
        <f t="shared" si="1"/>
        <v>Sun</v>
      </c>
      <c r="F12" s="27">
        <f t="shared" si="2"/>
        <v>40482</v>
      </c>
      <c r="G12" s="27">
        <f t="shared" si="3"/>
        <v>31</v>
      </c>
      <c r="H12" s="27">
        <f t="shared" si="4"/>
        <v>2010</v>
      </c>
      <c r="J12" s="5"/>
      <c r="K12" s="5">
        <v>40482</v>
      </c>
      <c r="L12">
        <v>0</v>
      </c>
      <c r="N12" s="7" t="str">
        <f t="shared" si="5"/>
        <v/>
      </c>
      <c r="O12" s="6" t="str">
        <f t="shared" si="6"/>
        <v/>
      </c>
      <c r="P12" s="27">
        <f t="shared" si="7"/>
        <v>40603</v>
      </c>
      <c r="Q12" s="27">
        <f t="shared" si="8"/>
        <v>1</v>
      </c>
      <c r="R12" s="27">
        <f t="shared" si="9"/>
        <v>2011</v>
      </c>
      <c r="T12" s="5"/>
      <c r="U12" s="5">
        <v>40603</v>
      </c>
      <c r="V12">
        <v>0</v>
      </c>
      <c r="X12" s="27" t="str">
        <f t="shared" si="10"/>
        <v/>
      </c>
    </row>
    <row r="13" spans="1:27" x14ac:dyDescent="0.25">
      <c r="A13" t="str">
        <f>IF(Config!A13 &lt;&gt; "",Config!A13,"")</f>
        <v>basic page</v>
      </c>
      <c r="B13" t="str">
        <f>IF(Config!B13&lt;&gt;"",Config!B13,"")</f>
        <v>cpc.ca: shop &gt; checkout &gt; address information</v>
      </c>
      <c r="D13" s="28">
        <f t="shared" si="0"/>
        <v>46</v>
      </c>
      <c r="E13" s="27" t="str">
        <f t="shared" si="1"/>
        <v>Sun</v>
      </c>
      <c r="F13" s="27">
        <f t="shared" si="2"/>
        <v>40489</v>
      </c>
      <c r="G13" s="27">
        <f t="shared" si="3"/>
        <v>7</v>
      </c>
      <c r="H13" s="27">
        <f t="shared" si="4"/>
        <v>2010</v>
      </c>
      <c r="J13" s="5"/>
      <c r="K13" s="5">
        <v>40489</v>
      </c>
      <c r="L13">
        <v>0</v>
      </c>
      <c r="N13" s="7" t="str">
        <f t="shared" si="5"/>
        <v/>
      </c>
      <c r="O13" s="6" t="str">
        <f t="shared" si="6"/>
        <v/>
      </c>
      <c r="P13" s="27">
        <f t="shared" si="7"/>
        <v>40634</v>
      </c>
      <c r="Q13" s="27">
        <f t="shared" si="8"/>
        <v>1</v>
      </c>
      <c r="R13" s="27">
        <f t="shared" si="9"/>
        <v>2011</v>
      </c>
      <c r="T13" s="5"/>
      <c r="U13" s="5">
        <v>40634</v>
      </c>
      <c r="V13">
        <v>0</v>
      </c>
      <c r="X13" s="27" t="str">
        <f t="shared" si="10"/>
        <v/>
      </c>
    </row>
    <row r="14" spans="1:27" x14ac:dyDescent="0.25">
      <c r="A14" t="str">
        <f>IF(Config!A14 &lt;&gt; "",Config!A14,"")</f>
        <v>basic page</v>
      </c>
      <c r="B14" t="str">
        <f>IF(Config!B14&lt;&gt;"",Config!B14,"")</f>
        <v>cpc.ca: shop &gt; checkout &gt; shipping options</v>
      </c>
      <c r="D14" s="28">
        <f t="shared" si="0"/>
        <v>47</v>
      </c>
      <c r="E14" s="27" t="str">
        <f t="shared" si="1"/>
        <v>Sun</v>
      </c>
      <c r="F14" s="27">
        <f t="shared" si="2"/>
        <v>40496</v>
      </c>
      <c r="G14" s="27">
        <f t="shared" si="3"/>
        <v>14</v>
      </c>
      <c r="H14" s="27">
        <f t="shared" si="4"/>
        <v>2010</v>
      </c>
      <c r="J14" s="5"/>
      <c r="K14" s="5">
        <v>40496</v>
      </c>
      <c r="L14">
        <v>0</v>
      </c>
      <c r="N14" s="7" t="str">
        <f t="shared" si="5"/>
        <v/>
      </c>
      <c r="O14" s="6" t="str">
        <f t="shared" si="6"/>
        <v/>
      </c>
      <c r="P14" s="27">
        <f t="shared" si="7"/>
        <v>40664</v>
      </c>
      <c r="Q14" s="27">
        <f t="shared" si="8"/>
        <v>1</v>
      </c>
      <c r="R14" s="27">
        <f t="shared" si="9"/>
        <v>2011</v>
      </c>
      <c r="T14" s="5"/>
      <c r="U14" s="5">
        <v>40664</v>
      </c>
      <c r="V14">
        <v>0</v>
      </c>
      <c r="X14" s="27" t="str">
        <f t="shared" si="10"/>
        <v/>
      </c>
    </row>
    <row r="15" spans="1:27" x14ac:dyDescent="0.25">
      <c r="A15" t="str">
        <f>IF(Config!A15 &lt;&gt; "",Config!A15,"")</f>
        <v>basic page</v>
      </c>
      <c r="B15" t="str">
        <f>IF(Config!B15&lt;&gt;"",Config!B15,"")</f>
        <v>cpc.ca: shop &gt; checkout &gt; payment options</v>
      </c>
      <c r="D15" s="28">
        <f t="shared" si="0"/>
        <v>48</v>
      </c>
      <c r="E15" s="27" t="str">
        <f t="shared" si="1"/>
        <v>Sun</v>
      </c>
      <c r="F15" s="27">
        <f t="shared" si="2"/>
        <v>40503</v>
      </c>
      <c r="G15" s="27">
        <f t="shared" si="3"/>
        <v>21</v>
      </c>
      <c r="H15" s="27">
        <f t="shared" si="4"/>
        <v>2010</v>
      </c>
      <c r="J15" s="5"/>
      <c r="K15" s="5">
        <v>40503</v>
      </c>
      <c r="L15">
        <v>0</v>
      </c>
      <c r="N15" s="7" t="str">
        <f t="shared" si="5"/>
        <v/>
      </c>
      <c r="O15" s="6" t="str">
        <f t="shared" si="6"/>
        <v/>
      </c>
      <c r="P15" s="27">
        <f t="shared" si="7"/>
        <v>40695</v>
      </c>
      <c r="Q15" s="27">
        <f t="shared" si="8"/>
        <v>1</v>
      </c>
      <c r="R15" s="27">
        <f t="shared" si="9"/>
        <v>2011</v>
      </c>
      <c r="T15" s="5"/>
      <c r="U15" s="5">
        <v>40695</v>
      </c>
      <c r="V15">
        <v>0</v>
      </c>
      <c r="X15" s="27" t="str">
        <f t="shared" si="10"/>
        <v/>
      </c>
    </row>
    <row r="16" spans="1:27" x14ac:dyDescent="0.25">
      <c r="A16" t="str">
        <f>IF(Config!A16 &lt;&gt; "",Config!A16,"")</f>
        <v>basic page</v>
      </c>
      <c r="B16" t="str">
        <f>IF(Config!B16&lt;&gt;"",Config!B16,"")</f>
        <v>cpc.ca: shop &gt; checkout &gt; place order</v>
      </c>
      <c r="D16" s="28">
        <f t="shared" si="0"/>
        <v>49</v>
      </c>
      <c r="E16" s="27" t="str">
        <f t="shared" si="1"/>
        <v>Sun</v>
      </c>
      <c r="F16" s="27">
        <f t="shared" si="2"/>
        <v>40510</v>
      </c>
      <c r="G16" s="27">
        <f t="shared" si="3"/>
        <v>28</v>
      </c>
      <c r="H16" s="27">
        <f t="shared" si="4"/>
        <v>2010</v>
      </c>
      <c r="J16" s="5"/>
      <c r="K16" s="5">
        <v>40510</v>
      </c>
      <c r="L16">
        <v>0</v>
      </c>
      <c r="N16" s="7" t="str">
        <f t="shared" si="5"/>
        <v/>
      </c>
      <c r="O16" s="6" t="str">
        <f t="shared" si="6"/>
        <v/>
      </c>
      <c r="P16" s="27">
        <f t="shared" si="7"/>
        <v>40725</v>
      </c>
      <c r="Q16" s="27">
        <f t="shared" si="8"/>
        <v>1</v>
      </c>
      <c r="R16" s="27">
        <f t="shared" si="9"/>
        <v>2011</v>
      </c>
      <c r="T16" s="5"/>
      <c r="U16" s="5">
        <v>40725</v>
      </c>
      <c r="V16">
        <v>0</v>
      </c>
      <c r="X16" s="27" t="str">
        <f t="shared" si="10"/>
        <v/>
      </c>
    </row>
    <row r="17" spans="1:24" x14ac:dyDescent="0.25">
      <c r="A17" t="str">
        <f>IF(Config!A17 &lt;&gt; "",Config!A17,"")</f>
        <v>basic page</v>
      </c>
      <c r="B17" t="str">
        <f>IF(Config!B17&lt;&gt;"",Config!B17,"")</f>
        <v>cpc.ca: shop &gt; checkout &gt; order confirmation</v>
      </c>
      <c r="D17" s="28">
        <f t="shared" si="0"/>
        <v>50</v>
      </c>
      <c r="E17" s="27" t="str">
        <f t="shared" si="1"/>
        <v>Sun</v>
      </c>
      <c r="F17" s="27">
        <f t="shared" si="2"/>
        <v>40517</v>
      </c>
      <c r="G17" s="27">
        <f t="shared" si="3"/>
        <v>5</v>
      </c>
      <c r="H17" s="27">
        <f t="shared" si="4"/>
        <v>2010</v>
      </c>
      <c r="J17" s="5"/>
      <c r="K17" s="5">
        <v>40517</v>
      </c>
      <c r="L17">
        <v>0</v>
      </c>
      <c r="N17" s="7" t="str">
        <f t="shared" si="5"/>
        <v/>
      </c>
      <c r="O17" s="6" t="str">
        <f t="shared" si="6"/>
        <v/>
      </c>
      <c r="P17" s="27">
        <f t="shared" si="7"/>
        <v>40756</v>
      </c>
      <c r="Q17" s="27">
        <f t="shared" si="8"/>
        <v>1</v>
      </c>
      <c r="R17" s="27">
        <f t="shared" si="9"/>
        <v>2011</v>
      </c>
      <c r="T17" s="5"/>
      <c r="U17" s="5">
        <v>40756</v>
      </c>
      <c r="V17">
        <v>0</v>
      </c>
      <c r="X17" s="27" t="str">
        <f t="shared" si="10"/>
        <v/>
      </c>
    </row>
    <row r="18" spans="1:24" x14ac:dyDescent="0.25">
      <c r="A18" t="str">
        <f>IF(Config!A18 &lt;&gt; "",Config!A18,"")</f>
        <v/>
      </c>
      <c r="B18" t="str">
        <f>IF(Config!B18&lt;&gt;"",Config!B18,"")</f>
        <v/>
      </c>
      <c r="D18" s="28">
        <f t="shared" si="0"/>
        <v>51</v>
      </c>
      <c r="E18" s="27" t="str">
        <f t="shared" si="1"/>
        <v>Sun</v>
      </c>
      <c r="F18" s="27">
        <f t="shared" si="2"/>
        <v>40524</v>
      </c>
      <c r="G18" s="27">
        <f t="shared" si="3"/>
        <v>12</v>
      </c>
      <c r="H18" s="27">
        <f t="shared" si="4"/>
        <v>2010</v>
      </c>
      <c r="J18" s="5"/>
      <c r="K18" s="5">
        <v>40524</v>
      </c>
      <c r="L18">
        <v>0</v>
      </c>
      <c r="N18" s="7" t="str">
        <f t="shared" si="5"/>
        <v/>
      </c>
      <c r="O18" s="6" t="str">
        <f t="shared" si="6"/>
        <v/>
      </c>
      <c r="P18" s="27">
        <f t="shared" si="7"/>
        <v>40787</v>
      </c>
      <c r="Q18" s="27">
        <f>IF(U18&lt;&gt;"",DAY(U18),"")</f>
        <v>1</v>
      </c>
      <c r="R18" s="27">
        <f>IF(U18&lt;&gt;"",YEAR(U18),"")</f>
        <v>2011</v>
      </c>
      <c r="U18" s="5">
        <v>40787</v>
      </c>
      <c r="V18">
        <v>0</v>
      </c>
      <c r="X18" s="27" t="str">
        <f t="shared" si="10"/>
        <v/>
      </c>
    </row>
    <row r="19" spans="1:24" x14ac:dyDescent="0.25">
      <c r="A19" t="str">
        <f>IF(Config!A19 &lt;&gt; "",Config!A19,"")</f>
        <v/>
      </c>
      <c r="B19" t="str">
        <f>IF(Config!B19&lt;&gt;"",Config!B19,"")</f>
        <v/>
      </c>
      <c r="D19" s="28">
        <f t="shared" si="0"/>
        <v>52</v>
      </c>
      <c r="E19" s="27" t="str">
        <f t="shared" si="1"/>
        <v>Sun</v>
      </c>
      <c r="F19" s="27">
        <f t="shared" si="2"/>
        <v>40531</v>
      </c>
      <c r="G19" s="27">
        <f t="shared" si="3"/>
        <v>19</v>
      </c>
      <c r="H19" s="27">
        <f t="shared" si="4"/>
        <v>2010</v>
      </c>
      <c r="J19" s="5"/>
      <c r="K19" s="5">
        <v>40531</v>
      </c>
      <c r="L19">
        <v>0</v>
      </c>
      <c r="N19" s="7" t="str">
        <f t="shared" si="5"/>
        <v/>
      </c>
      <c r="O19" s="6" t="str">
        <f t="shared" si="6"/>
        <v/>
      </c>
      <c r="P19" s="27">
        <f t="shared" si="7"/>
        <v>40817</v>
      </c>
      <c r="Q19" s="27">
        <f t="shared" ref="Q19:Q30" si="11">IF(U19&lt;&gt;"",DAY(U19),"")</f>
        <v>1</v>
      </c>
      <c r="R19" s="27">
        <f t="shared" ref="R19:R30" si="12">IF(U19&lt;&gt;"",YEAR(U19),"")</f>
        <v>2011</v>
      </c>
      <c r="U19" s="5">
        <v>40817</v>
      </c>
      <c r="V19">
        <v>81011</v>
      </c>
    </row>
    <row r="20" spans="1:24" x14ac:dyDescent="0.25">
      <c r="A20" t="str">
        <f>IF(Config!A20 &lt;&gt; "",Config!A20,"")</f>
        <v/>
      </c>
      <c r="B20" t="str">
        <f>IF(Config!B20&lt;&gt;"",Config!B20,"")</f>
        <v/>
      </c>
      <c r="D20" s="28">
        <f t="shared" si="0"/>
        <v>53</v>
      </c>
      <c r="E20" s="27" t="str">
        <f t="shared" si="1"/>
        <v>Sun</v>
      </c>
      <c r="F20" s="27">
        <f t="shared" si="2"/>
        <v>40538</v>
      </c>
      <c r="G20" s="27">
        <f t="shared" si="3"/>
        <v>26</v>
      </c>
      <c r="H20" s="27">
        <f t="shared" si="4"/>
        <v>2010</v>
      </c>
      <c r="J20" s="5"/>
      <c r="K20" s="5">
        <v>40538</v>
      </c>
      <c r="L20">
        <v>0</v>
      </c>
      <c r="N20" s="7" t="str">
        <f t="shared" si="5"/>
        <v/>
      </c>
      <c r="O20" s="6" t="str">
        <f t="shared" si="6"/>
        <v/>
      </c>
      <c r="P20" s="27">
        <f t="shared" si="7"/>
        <v>40848</v>
      </c>
      <c r="Q20" s="27">
        <f t="shared" si="11"/>
        <v>1</v>
      </c>
      <c r="R20" s="27">
        <f t="shared" si="12"/>
        <v>2011</v>
      </c>
      <c r="U20" s="5">
        <v>40848</v>
      </c>
      <c r="V20">
        <v>135531</v>
      </c>
    </row>
    <row r="21" spans="1:24" x14ac:dyDescent="0.25">
      <c r="A21" t="str">
        <f>IF(Config!A21 &lt;&gt; "",Config!A21,"")</f>
        <v/>
      </c>
      <c r="B21" t="str">
        <f>IF(Config!B21&lt;&gt;"",Config!B21,"")</f>
        <v/>
      </c>
      <c r="D21" s="28">
        <f t="shared" si="0"/>
        <v>2</v>
      </c>
      <c r="E21" s="27" t="str">
        <f t="shared" si="1"/>
        <v>Sun</v>
      </c>
      <c r="F21" s="27">
        <f t="shared" si="2"/>
        <v>40545</v>
      </c>
      <c r="G21" s="27">
        <f t="shared" si="3"/>
        <v>2</v>
      </c>
      <c r="H21" s="27">
        <f t="shared" si="4"/>
        <v>2011</v>
      </c>
      <c r="J21" s="5"/>
      <c r="K21" s="5">
        <v>40545</v>
      </c>
      <c r="L21">
        <v>0</v>
      </c>
      <c r="N21" s="7" t="str">
        <f t="shared" si="5"/>
        <v/>
      </c>
      <c r="O21" s="6" t="str">
        <f t="shared" si="6"/>
        <v/>
      </c>
      <c r="P21" s="27">
        <f t="shared" si="7"/>
        <v>40878</v>
      </c>
      <c r="Q21" s="27">
        <f t="shared" si="11"/>
        <v>1</v>
      </c>
      <c r="R21" s="27">
        <f t="shared" si="12"/>
        <v>2011</v>
      </c>
      <c r="U21" s="5">
        <v>40878</v>
      </c>
      <c r="V21">
        <v>195425</v>
      </c>
    </row>
    <row r="22" spans="1:24" x14ac:dyDescent="0.25">
      <c r="A22" t="str">
        <f>IF(Config!A22 &lt;&gt; "",Config!A22,"")</f>
        <v/>
      </c>
      <c r="B22" t="str">
        <f>IF(Config!B22&lt;&gt;"",Config!B22,"")</f>
        <v/>
      </c>
      <c r="D22" s="28">
        <f t="shared" si="0"/>
        <v>3</v>
      </c>
      <c r="E22" s="27" t="str">
        <f t="shared" si="1"/>
        <v>Sun</v>
      </c>
      <c r="F22" s="27">
        <f t="shared" si="2"/>
        <v>40552</v>
      </c>
      <c r="G22" s="27">
        <f t="shared" si="3"/>
        <v>9</v>
      </c>
      <c r="H22" s="27">
        <f t="shared" si="4"/>
        <v>2011</v>
      </c>
      <c r="J22" s="5"/>
      <c r="K22" s="5">
        <v>40552</v>
      </c>
      <c r="L22">
        <v>0</v>
      </c>
      <c r="N22" s="7" t="str">
        <f t="shared" si="5"/>
        <v/>
      </c>
      <c r="O22" s="6" t="str">
        <f t="shared" si="6"/>
        <v/>
      </c>
      <c r="P22" s="27">
        <f t="shared" si="7"/>
        <v>40909</v>
      </c>
      <c r="Q22" s="27">
        <f t="shared" si="11"/>
        <v>1</v>
      </c>
      <c r="R22" s="27">
        <f t="shared" si="12"/>
        <v>2012</v>
      </c>
      <c r="U22" s="5">
        <v>40909</v>
      </c>
      <c r="V22">
        <v>159469</v>
      </c>
    </row>
    <row r="23" spans="1:24" x14ac:dyDescent="0.25">
      <c r="A23" t="str">
        <f>IF(Config!A23 &lt;&gt; "",Config!A23,"")</f>
        <v/>
      </c>
      <c r="B23" t="str">
        <f>IF(Config!B23&lt;&gt;"",Config!B23,"")</f>
        <v/>
      </c>
      <c r="D23" s="28">
        <f t="shared" si="0"/>
        <v>4</v>
      </c>
      <c r="E23" s="27" t="str">
        <f t="shared" si="1"/>
        <v>Sun</v>
      </c>
      <c r="F23" s="27">
        <f t="shared" si="2"/>
        <v>40559</v>
      </c>
      <c r="G23" s="27">
        <f t="shared" si="3"/>
        <v>16</v>
      </c>
      <c r="H23" s="27">
        <f t="shared" si="4"/>
        <v>2011</v>
      </c>
      <c r="J23" s="5"/>
      <c r="K23" s="5">
        <v>40559</v>
      </c>
      <c r="L23">
        <v>0</v>
      </c>
      <c r="N23" s="7" t="str">
        <f t="shared" si="5"/>
        <v/>
      </c>
      <c r="O23" s="6" t="str">
        <f t="shared" si="6"/>
        <v/>
      </c>
      <c r="P23" s="27">
        <f t="shared" si="7"/>
        <v>40940</v>
      </c>
      <c r="Q23" s="27">
        <f t="shared" si="11"/>
        <v>1</v>
      </c>
      <c r="R23" s="27">
        <f t="shared" si="12"/>
        <v>2012</v>
      </c>
      <c r="U23" s="5">
        <v>40940</v>
      </c>
      <c r="V23">
        <v>130768</v>
      </c>
    </row>
    <row r="24" spans="1:24" x14ac:dyDescent="0.25">
      <c r="A24" t="str">
        <f>IF(Config!A24 &lt;&gt; "",Config!A24,"")</f>
        <v/>
      </c>
      <c r="B24" t="str">
        <f>IF(Config!B24&lt;&gt;"",Config!B24,"")</f>
        <v/>
      </c>
      <c r="D24" s="28">
        <f t="shared" si="0"/>
        <v>5</v>
      </c>
      <c r="E24" s="27" t="str">
        <f t="shared" si="1"/>
        <v>Sun</v>
      </c>
      <c r="F24" s="27">
        <f t="shared" si="2"/>
        <v>40566</v>
      </c>
      <c r="G24" s="27">
        <f t="shared" si="3"/>
        <v>23</v>
      </c>
      <c r="H24" s="27">
        <f t="shared" si="4"/>
        <v>2011</v>
      </c>
      <c r="J24" s="5"/>
      <c r="K24" s="5">
        <v>40566</v>
      </c>
      <c r="L24">
        <v>0</v>
      </c>
      <c r="N24" s="7" t="str">
        <f t="shared" si="5"/>
        <v/>
      </c>
      <c r="O24" s="6" t="str">
        <f t="shared" si="6"/>
        <v/>
      </c>
      <c r="P24" s="27">
        <f t="shared" si="7"/>
        <v>40969</v>
      </c>
      <c r="Q24" s="27">
        <f t="shared" si="11"/>
        <v>1</v>
      </c>
      <c r="R24" s="27">
        <f t="shared" si="12"/>
        <v>2012</v>
      </c>
      <c r="U24" s="5">
        <v>40969</v>
      </c>
      <c r="V24">
        <v>160896</v>
      </c>
    </row>
    <row r="25" spans="1:24" x14ac:dyDescent="0.25">
      <c r="A25" t="str">
        <f>IF(Config!A25 &lt;&gt; "",Config!A25,"")</f>
        <v/>
      </c>
      <c r="B25" t="str">
        <f>IF(Config!B25&lt;&gt;"",Config!B25,"")</f>
        <v/>
      </c>
      <c r="D25" s="28">
        <f t="shared" si="0"/>
        <v>6</v>
      </c>
      <c r="E25" s="27" t="str">
        <f t="shared" si="1"/>
        <v>Sun</v>
      </c>
      <c r="F25" s="27">
        <f t="shared" si="2"/>
        <v>40573</v>
      </c>
      <c r="G25" s="27">
        <f t="shared" si="3"/>
        <v>30</v>
      </c>
      <c r="H25" s="27">
        <f t="shared" si="4"/>
        <v>2011</v>
      </c>
      <c r="J25" s="5"/>
      <c r="K25" s="5">
        <v>40573</v>
      </c>
      <c r="L25">
        <v>0</v>
      </c>
      <c r="N25" s="7" t="str">
        <f t="shared" si="5"/>
        <v/>
      </c>
      <c r="O25" s="6" t="str">
        <f t="shared" si="6"/>
        <v/>
      </c>
      <c r="P25" s="27">
        <f t="shared" si="7"/>
        <v>41000</v>
      </c>
      <c r="Q25" s="27">
        <f t="shared" si="11"/>
        <v>1</v>
      </c>
      <c r="R25" s="27">
        <f t="shared" si="12"/>
        <v>2012</v>
      </c>
      <c r="U25" s="5">
        <v>41000</v>
      </c>
      <c r="V25">
        <v>172995</v>
      </c>
    </row>
    <row r="26" spans="1:24" x14ac:dyDescent="0.25">
      <c r="A26" t="str">
        <f>IF(Config!A26 &lt;&gt; "",Config!A26,"")</f>
        <v/>
      </c>
      <c r="B26" t="str">
        <f>IF(Config!B26&lt;&gt;"",Config!B26,"")</f>
        <v/>
      </c>
      <c r="D26" s="28">
        <f t="shared" si="0"/>
        <v>7</v>
      </c>
      <c r="E26" s="27" t="str">
        <f t="shared" si="1"/>
        <v>Sun</v>
      </c>
      <c r="F26" s="27">
        <f t="shared" si="2"/>
        <v>40580</v>
      </c>
      <c r="G26" s="27">
        <f t="shared" si="3"/>
        <v>6</v>
      </c>
      <c r="H26" s="27">
        <f t="shared" si="4"/>
        <v>2011</v>
      </c>
      <c r="J26" s="5"/>
      <c r="K26" s="5">
        <v>40580</v>
      </c>
      <c r="L26">
        <v>0</v>
      </c>
      <c r="N26" s="7" t="str">
        <f t="shared" si="5"/>
        <v/>
      </c>
      <c r="O26" s="6" t="str">
        <f t="shared" si="6"/>
        <v/>
      </c>
      <c r="P26" s="27">
        <f t="shared" si="7"/>
        <v>41030</v>
      </c>
      <c r="Q26" s="27">
        <f t="shared" si="11"/>
        <v>1</v>
      </c>
      <c r="R26" s="27">
        <f t="shared" si="12"/>
        <v>2012</v>
      </c>
      <c r="U26" s="5">
        <v>41030</v>
      </c>
      <c r="V26">
        <v>164599</v>
      </c>
    </row>
    <row r="27" spans="1:24" x14ac:dyDescent="0.25">
      <c r="A27" t="str">
        <f>IF(Config!A27 &lt;&gt; "",Config!A27,"")</f>
        <v/>
      </c>
      <c r="B27" t="str">
        <f>IF(Config!B27&lt;&gt;"",Config!B27,"")</f>
        <v/>
      </c>
      <c r="D27" s="28">
        <f t="shared" si="0"/>
        <v>8</v>
      </c>
      <c r="E27" s="27" t="str">
        <f t="shared" si="1"/>
        <v>Sun</v>
      </c>
      <c r="F27" s="27">
        <f t="shared" si="2"/>
        <v>40587</v>
      </c>
      <c r="G27" s="27">
        <f t="shared" si="3"/>
        <v>13</v>
      </c>
      <c r="H27" s="27">
        <f t="shared" si="4"/>
        <v>2011</v>
      </c>
      <c r="J27" s="5"/>
      <c r="K27" s="5">
        <v>40587</v>
      </c>
      <c r="L27">
        <v>0</v>
      </c>
      <c r="N27" s="7" t="str">
        <f t="shared" si="5"/>
        <v/>
      </c>
      <c r="O27" s="6" t="str">
        <f t="shared" si="6"/>
        <v/>
      </c>
      <c r="P27" s="27">
        <f t="shared" si="7"/>
        <v>41061</v>
      </c>
      <c r="Q27" s="27">
        <f t="shared" si="11"/>
        <v>1</v>
      </c>
      <c r="R27" s="27">
        <f t="shared" si="12"/>
        <v>2012</v>
      </c>
      <c r="U27" s="5">
        <v>41061</v>
      </c>
      <c r="V27">
        <v>164560</v>
      </c>
    </row>
    <row r="28" spans="1:24" x14ac:dyDescent="0.25">
      <c r="A28" t="str">
        <f>IF(Config!A28 &lt;&gt; "",Config!A28,"")</f>
        <v/>
      </c>
      <c r="B28" t="str">
        <f>IF(Config!B28&lt;&gt;"",Config!B28,"")</f>
        <v/>
      </c>
      <c r="D28" s="28">
        <f t="shared" si="0"/>
        <v>9</v>
      </c>
      <c r="E28" s="27" t="str">
        <f t="shared" si="1"/>
        <v>Sun</v>
      </c>
      <c r="F28" s="27">
        <f t="shared" si="2"/>
        <v>40594</v>
      </c>
      <c r="G28" s="27">
        <f t="shared" si="3"/>
        <v>20</v>
      </c>
      <c r="H28" s="27">
        <f t="shared" si="4"/>
        <v>2011</v>
      </c>
      <c r="J28" s="5"/>
      <c r="K28" s="5">
        <v>40594</v>
      </c>
      <c r="L28">
        <v>0</v>
      </c>
      <c r="N28" s="7" t="str">
        <f t="shared" si="5"/>
        <v/>
      </c>
      <c r="O28" s="6" t="str">
        <f t="shared" si="6"/>
        <v/>
      </c>
      <c r="P28" s="27">
        <f t="shared" si="7"/>
        <v>41091</v>
      </c>
      <c r="Q28" s="27">
        <f t="shared" si="11"/>
        <v>1</v>
      </c>
      <c r="R28" s="27">
        <f t="shared" si="12"/>
        <v>2012</v>
      </c>
      <c r="U28" s="5">
        <v>41091</v>
      </c>
      <c r="V28">
        <v>161869</v>
      </c>
    </row>
    <row r="29" spans="1:24" x14ac:dyDescent="0.25">
      <c r="A29" t="str">
        <f>IF(Config!A29 &lt;&gt; "",Config!A29,"")</f>
        <v/>
      </c>
      <c r="B29" t="str">
        <f>IF(Config!B29&lt;&gt;"",Config!B29,"")</f>
        <v/>
      </c>
      <c r="D29" s="28">
        <f t="shared" si="0"/>
        <v>10</v>
      </c>
      <c r="E29" s="27" t="str">
        <f t="shared" si="1"/>
        <v>Sun</v>
      </c>
      <c r="F29" s="27">
        <f t="shared" si="2"/>
        <v>40601</v>
      </c>
      <c r="G29" s="27">
        <f t="shared" si="3"/>
        <v>27</v>
      </c>
      <c r="H29" s="27">
        <f t="shared" si="4"/>
        <v>2011</v>
      </c>
      <c r="J29" s="5"/>
      <c r="K29" s="5">
        <v>40601</v>
      </c>
      <c r="L29">
        <v>0</v>
      </c>
      <c r="N29" s="7" t="str">
        <f t="shared" si="5"/>
        <v/>
      </c>
      <c r="O29" s="6" t="str">
        <f t="shared" si="6"/>
        <v/>
      </c>
      <c r="P29" s="27">
        <f t="shared" si="7"/>
        <v>41122</v>
      </c>
      <c r="Q29" s="27">
        <f t="shared" si="11"/>
        <v>1</v>
      </c>
      <c r="R29" s="27">
        <f t="shared" si="12"/>
        <v>2012</v>
      </c>
      <c r="U29" s="5">
        <v>41122</v>
      </c>
      <c r="V29">
        <v>160633</v>
      </c>
    </row>
    <row r="30" spans="1:24" x14ac:dyDescent="0.25">
      <c r="A30" t="str">
        <f>IF(Config!A30 &lt;&gt; "",Config!A30,"")</f>
        <v/>
      </c>
      <c r="B30" t="str">
        <f>IF(Config!B30&lt;&gt;"",Config!B30,"")</f>
        <v/>
      </c>
      <c r="D30" s="28">
        <f t="shared" si="0"/>
        <v>11</v>
      </c>
      <c r="E30" s="27" t="str">
        <f t="shared" si="1"/>
        <v>Sun</v>
      </c>
      <c r="F30" s="27">
        <f t="shared" si="2"/>
        <v>40608</v>
      </c>
      <c r="G30" s="27">
        <f t="shared" si="3"/>
        <v>6</v>
      </c>
      <c r="H30" s="27">
        <f t="shared" si="4"/>
        <v>2011</v>
      </c>
      <c r="J30" s="5"/>
      <c r="K30" s="5">
        <v>40608</v>
      </c>
      <c r="L30">
        <v>0</v>
      </c>
      <c r="N30" s="7" t="str">
        <f t="shared" si="5"/>
        <v/>
      </c>
      <c r="O30" s="6" t="str">
        <f t="shared" si="6"/>
        <v/>
      </c>
      <c r="P30" s="27">
        <f t="shared" si="7"/>
        <v>41153</v>
      </c>
      <c r="Q30" s="27">
        <f t="shared" si="11"/>
        <v>1</v>
      </c>
      <c r="R30" s="27">
        <f t="shared" si="12"/>
        <v>2012</v>
      </c>
      <c r="U30" s="5">
        <v>41153</v>
      </c>
      <c r="V30">
        <v>164096</v>
      </c>
    </row>
    <row r="31" spans="1:24" x14ac:dyDescent="0.25">
      <c r="A31" t="str">
        <f>IF(Config!A31 &lt;&gt; "",Config!A31,"")</f>
        <v/>
      </c>
      <c r="B31" t="str">
        <f>IF(Config!B31&lt;&gt;"",Config!B31,"")</f>
        <v/>
      </c>
      <c r="D31" s="28">
        <f t="shared" si="0"/>
        <v>12</v>
      </c>
      <c r="E31" s="27" t="str">
        <f t="shared" si="1"/>
        <v>Sun</v>
      </c>
      <c r="F31" s="27">
        <f t="shared" si="2"/>
        <v>40615</v>
      </c>
      <c r="G31" s="27">
        <f t="shared" si="3"/>
        <v>13</v>
      </c>
      <c r="H31" s="27">
        <f t="shared" si="4"/>
        <v>2011</v>
      </c>
      <c r="J31" s="5"/>
      <c r="K31" s="5">
        <v>40615</v>
      </c>
      <c r="L31">
        <v>0</v>
      </c>
      <c r="N31" s="7" t="str">
        <f t="shared" si="5"/>
        <v/>
      </c>
      <c r="O31" s="6" t="str">
        <f t="shared" si="6"/>
        <v/>
      </c>
      <c r="U31" s="5"/>
    </row>
    <row r="32" spans="1:24" x14ac:dyDescent="0.25">
      <c r="A32" t="str">
        <f>IF(Config!A32 &lt;&gt; "",Config!A32,"")</f>
        <v/>
      </c>
      <c r="B32" t="str">
        <f>IF(Config!B32&lt;&gt;"",Config!B32,"")</f>
        <v/>
      </c>
      <c r="D32" s="28">
        <f t="shared" si="0"/>
        <v>13</v>
      </c>
      <c r="E32" s="27" t="str">
        <f t="shared" si="1"/>
        <v>Sun</v>
      </c>
      <c r="F32" s="27">
        <f t="shared" si="2"/>
        <v>40622</v>
      </c>
      <c r="G32" s="27">
        <f t="shared" si="3"/>
        <v>20</v>
      </c>
      <c r="H32" s="27">
        <f t="shared" si="4"/>
        <v>2011</v>
      </c>
      <c r="J32" s="5"/>
      <c r="K32" s="5">
        <v>40622</v>
      </c>
      <c r="L32">
        <v>0</v>
      </c>
      <c r="N32" s="7" t="str">
        <f t="shared" si="5"/>
        <v/>
      </c>
      <c r="O32" s="6" t="str">
        <f t="shared" si="6"/>
        <v/>
      </c>
    </row>
    <row r="33" spans="1:15" x14ac:dyDescent="0.25">
      <c r="A33" t="str">
        <f>IF(Config!A33 &lt;&gt; "",Config!A33,"")</f>
        <v/>
      </c>
      <c r="B33" t="str">
        <f>IF(Config!B33&lt;&gt;"",Config!B33,"")</f>
        <v/>
      </c>
      <c r="D33" s="28">
        <f t="shared" si="0"/>
        <v>14</v>
      </c>
      <c r="E33" s="27" t="str">
        <f t="shared" si="1"/>
        <v>Sun</v>
      </c>
      <c r="F33" s="27">
        <f t="shared" si="2"/>
        <v>40629</v>
      </c>
      <c r="G33" s="27">
        <f t="shared" si="3"/>
        <v>27</v>
      </c>
      <c r="H33" s="27">
        <f t="shared" si="4"/>
        <v>2011</v>
      </c>
      <c r="J33" s="5"/>
      <c r="K33" s="5">
        <v>40629</v>
      </c>
      <c r="L33">
        <v>0</v>
      </c>
      <c r="N33" s="7" t="str">
        <f t="shared" si="5"/>
        <v/>
      </c>
      <c r="O33" s="6" t="str">
        <f t="shared" si="6"/>
        <v/>
      </c>
    </row>
    <row r="34" spans="1:15" x14ac:dyDescent="0.25">
      <c r="A34" t="str">
        <f>IF(Config!A34 &lt;&gt; "",Config!A34,"")</f>
        <v/>
      </c>
      <c r="B34" t="str">
        <f>IF(Config!B34&lt;&gt;"",Config!B34,"")</f>
        <v/>
      </c>
      <c r="D34" s="28">
        <f t="shared" si="0"/>
        <v>15</v>
      </c>
      <c r="E34" s="27" t="str">
        <f t="shared" si="1"/>
        <v>Sun</v>
      </c>
      <c r="F34" s="27">
        <f t="shared" si="2"/>
        <v>40636</v>
      </c>
      <c r="G34" s="27">
        <f t="shared" si="3"/>
        <v>3</v>
      </c>
      <c r="H34" s="27">
        <f t="shared" si="4"/>
        <v>2011</v>
      </c>
      <c r="J34" s="5"/>
      <c r="K34" s="5">
        <v>40636</v>
      </c>
      <c r="L34">
        <v>0</v>
      </c>
      <c r="N34" s="7" t="str">
        <f t="shared" si="5"/>
        <v/>
      </c>
      <c r="O34" s="6" t="str">
        <f t="shared" si="6"/>
        <v/>
      </c>
    </row>
    <row r="35" spans="1:15" x14ac:dyDescent="0.25">
      <c r="A35" t="str">
        <f>IF(Config!A35 &lt;&gt; "",Config!A35,"")</f>
        <v/>
      </c>
      <c r="B35" t="str">
        <f>IF(Config!B35&lt;&gt;"",Config!B35,"")</f>
        <v/>
      </c>
      <c r="D35" s="28">
        <f t="shared" si="0"/>
        <v>16</v>
      </c>
      <c r="E35" s="27" t="str">
        <f t="shared" si="1"/>
        <v>Sun</v>
      </c>
      <c r="F35" s="27">
        <f t="shared" si="2"/>
        <v>40643</v>
      </c>
      <c r="G35" s="27">
        <f t="shared" si="3"/>
        <v>10</v>
      </c>
      <c r="H35" s="27">
        <f t="shared" si="4"/>
        <v>2011</v>
      </c>
      <c r="J35" s="5"/>
      <c r="K35" s="5">
        <v>40643</v>
      </c>
      <c r="L35">
        <v>0</v>
      </c>
      <c r="N35" s="7" t="str">
        <f t="shared" si="5"/>
        <v/>
      </c>
      <c r="O35" s="6" t="str">
        <f t="shared" si="6"/>
        <v/>
      </c>
    </row>
    <row r="36" spans="1:15" x14ac:dyDescent="0.25">
      <c r="A36" t="str">
        <f>IF(Config!A36 &lt;&gt; "",Config!A36,"")</f>
        <v/>
      </c>
      <c r="B36" t="str">
        <f>IF(Config!B36&lt;&gt;"",Config!B36,"")</f>
        <v/>
      </c>
      <c r="D36" s="28">
        <f t="shared" si="0"/>
        <v>17</v>
      </c>
      <c r="E36" s="27" t="str">
        <f t="shared" si="1"/>
        <v>Sun</v>
      </c>
      <c r="F36" s="27">
        <f t="shared" si="2"/>
        <v>40650</v>
      </c>
      <c r="G36" s="27">
        <f t="shared" si="3"/>
        <v>17</v>
      </c>
      <c r="H36" s="27">
        <f t="shared" si="4"/>
        <v>2011</v>
      </c>
      <c r="J36" s="5"/>
      <c r="K36" s="5">
        <v>40650</v>
      </c>
      <c r="L36">
        <v>0</v>
      </c>
      <c r="N36" s="7" t="str">
        <f t="shared" si="5"/>
        <v/>
      </c>
      <c r="O36" s="6" t="str">
        <f t="shared" si="6"/>
        <v/>
      </c>
    </row>
    <row r="37" spans="1:15" x14ac:dyDescent="0.25">
      <c r="A37" t="str">
        <f>IF(Config!A37 &lt;&gt; "",Config!A37,"")</f>
        <v/>
      </c>
      <c r="B37" t="str">
        <f>IF(Config!B37&lt;&gt;"",Config!B37,"")</f>
        <v/>
      </c>
      <c r="D37" s="28">
        <f t="shared" si="0"/>
        <v>18</v>
      </c>
      <c r="E37" s="27" t="str">
        <f t="shared" si="1"/>
        <v>Sun</v>
      </c>
      <c r="F37" s="27">
        <f t="shared" si="2"/>
        <v>40657</v>
      </c>
      <c r="G37" s="27">
        <f t="shared" si="3"/>
        <v>24</v>
      </c>
      <c r="H37" s="27">
        <f t="shared" si="4"/>
        <v>2011</v>
      </c>
      <c r="J37" s="5"/>
      <c r="K37" s="5">
        <v>40657</v>
      </c>
      <c r="L37">
        <v>0</v>
      </c>
      <c r="N37" s="7" t="str">
        <f t="shared" si="5"/>
        <v/>
      </c>
      <c r="O37" s="6" t="str">
        <f t="shared" si="6"/>
        <v/>
      </c>
    </row>
    <row r="38" spans="1:15" x14ac:dyDescent="0.25">
      <c r="A38" t="str">
        <f>IF(Config!A38 &lt;&gt; "",Config!A38,"")</f>
        <v/>
      </c>
      <c r="B38" t="str">
        <f>IF(Config!B38&lt;&gt;"",Config!B38,"")</f>
        <v/>
      </c>
      <c r="D38" s="28">
        <f t="shared" si="0"/>
        <v>19</v>
      </c>
      <c r="E38" s="27" t="str">
        <f t="shared" si="1"/>
        <v>Sun</v>
      </c>
      <c r="F38" s="27">
        <f t="shared" si="2"/>
        <v>40664</v>
      </c>
      <c r="G38" s="27">
        <f t="shared" si="3"/>
        <v>1</v>
      </c>
      <c r="H38" s="27">
        <f t="shared" si="4"/>
        <v>2011</v>
      </c>
      <c r="J38" s="5"/>
      <c r="K38" s="5">
        <v>40664</v>
      </c>
      <c r="L38">
        <v>0</v>
      </c>
      <c r="N38" s="7" t="str">
        <f t="shared" si="5"/>
        <v/>
      </c>
      <c r="O38" s="6" t="str">
        <f t="shared" si="6"/>
        <v/>
      </c>
    </row>
    <row r="39" spans="1:15" x14ac:dyDescent="0.25">
      <c r="A39" t="str">
        <f>IF(Config!A39 &lt;&gt; "",Config!A39,"")</f>
        <v/>
      </c>
      <c r="B39" t="str">
        <f>IF(Config!B39&lt;&gt;"",Config!B39,"")</f>
        <v/>
      </c>
      <c r="D39" s="28">
        <f t="shared" si="0"/>
        <v>20</v>
      </c>
      <c r="E39" s="27" t="str">
        <f t="shared" si="1"/>
        <v>Sun</v>
      </c>
      <c r="F39" s="27">
        <f t="shared" si="2"/>
        <v>40671</v>
      </c>
      <c r="G39" s="27">
        <f t="shared" si="3"/>
        <v>8</v>
      </c>
      <c r="H39" s="27">
        <f t="shared" si="4"/>
        <v>2011</v>
      </c>
      <c r="J39" s="5"/>
      <c r="K39" s="5">
        <v>40671</v>
      </c>
      <c r="L39">
        <v>0</v>
      </c>
      <c r="N39" s="7" t="str">
        <f t="shared" si="5"/>
        <v/>
      </c>
      <c r="O39" s="6" t="str">
        <f t="shared" si="6"/>
        <v/>
      </c>
    </row>
    <row r="40" spans="1:15" x14ac:dyDescent="0.25">
      <c r="A40" t="str">
        <f>IF(Config!A40 &lt;&gt; "",Config!A40,"")</f>
        <v/>
      </c>
      <c r="B40" t="str">
        <f>IF(Config!B40&lt;&gt;"",Config!B40,"")</f>
        <v/>
      </c>
      <c r="D40" s="28">
        <f t="shared" si="0"/>
        <v>21</v>
      </c>
      <c r="E40" s="27" t="str">
        <f t="shared" si="1"/>
        <v>Sun</v>
      </c>
      <c r="F40" s="27">
        <f t="shared" si="2"/>
        <v>40678</v>
      </c>
      <c r="G40" s="27">
        <f t="shared" si="3"/>
        <v>15</v>
      </c>
      <c r="H40" s="27">
        <f t="shared" si="4"/>
        <v>2011</v>
      </c>
      <c r="J40" s="5"/>
      <c r="K40" s="5">
        <v>40678</v>
      </c>
      <c r="L40">
        <v>0</v>
      </c>
      <c r="N40" s="7" t="str">
        <f t="shared" si="5"/>
        <v/>
      </c>
      <c r="O40" s="6" t="str">
        <f t="shared" si="6"/>
        <v/>
      </c>
    </row>
    <row r="41" spans="1:15" x14ac:dyDescent="0.25">
      <c r="A41" t="str">
        <f>IF(Config!A41 &lt;&gt; "",Config!A41,"")</f>
        <v/>
      </c>
      <c r="B41" t="str">
        <f>IF(Config!B41&lt;&gt;"",Config!B41,"")</f>
        <v/>
      </c>
      <c r="D41" s="28">
        <f t="shared" si="0"/>
        <v>22</v>
      </c>
      <c r="E41" s="27" t="str">
        <f t="shared" si="1"/>
        <v>Sun</v>
      </c>
      <c r="F41" s="27">
        <f t="shared" si="2"/>
        <v>40685</v>
      </c>
      <c r="G41" s="27">
        <f t="shared" si="3"/>
        <v>22</v>
      </c>
      <c r="H41" s="27">
        <f t="shared" si="4"/>
        <v>2011</v>
      </c>
      <c r="J41" s="5"/>
      <c r="K41" s="5">
        <v>40685</v>
      </c>
      <c r="L41">
        <v>0</v>
      </c>
      <c r="N41" s="7" t="str">
        <f t="shared" si="5"/>
        <v/>
      </c>
      <c r="O41" s="6" t="str">
        <f t="shared" si="6"/>
        <v/>
      </c>
    </row>
    <row r="42" spans="1:15" x14ac:dyDescent="0.25">
      <c r="D42" s="28">
        <f t="shared" si="0"/>
        <v>23</v>
      </c>
      <c r="E42" s="27" t="str">
        <f t="shared" si="1"/>
        <v>Sun</v>
      </c>
      <c r="F42" s="27">
        <f t="shared" si="2"/>
        <v>40692</v>
      </c>
      <c r="G42" s="27">
        <f t="shared" si="3"/>
        <v>29</v>
      </c>
      <c r="H42" s="27">
        <f t="shared" si="4"/>
        <v>2011</v>
      </c>
      <c r="J42" s="5"/>
      <c r="K42" s="5">
        <v>40692</v>
      </c>
      <c r="L42">
        <v>0</v>
      </c>
      <c r="N42" s="7" t="str">
        <f t="shared" si="5"/>
        <v/>
      </c>
      <c r="O42" s="6" t="str">
        <f t="shared" si="6"/>
        <v/>
      </c>
    </row>
    <row r="43" spans="1:15" x14ac:dyDescent="0.25">
      <c r="D43" s="28">
        <f t="shared" si="0"/>
        <v>24</v>
      </c>
      <c r="E43" s="27" t="str">
        <f t="shared" si="1"/>
        <v>Sun</v>
      </c>
      <c r="F43" s="27">
        <f t="shared" si="2"/>
        <v>40699</v>
      </c>
      <c r="G43" s="27">
        <f t="shared" si="3"/>
        <v>5</v>
      </c>
      <c r="H43" s="27">
        <f t="shared" si="4"/>
        <v>2011</v>
      </c>
      <c r="J43" s="5"/>
      <c r="K43" s="5">
        <v>40699</v>
      </c>
      <c r="L43">
        <v>0</v>
      </c>
      <c r="N43" s="7" t="str">
        <f t="shared" si="5"/>
        <v/>
      </c>
      <c r="O43" s="6" t="str">
        <f t="shared" si="6"/>
        <v/>
      </c>
    </row>
    <row r="44" spans="1:15" x14ac:dyDescent="0.25">
      <c r="D44" s="28">
        <f t="shared" si="0"/>
        <v>25</v>
      </c>
      <c r="E44" s="27" t="str">
        <f t="shared" si="1"/>
        <v>Sun</v>
      </c>
      <c r="F44" s="27">
        <f t="shared" si="2"/>
        <v>40706</v>
      </c>
      <c r="G44" s="27">
        <f t="shared" si="3"/>
        <v>12</v>
      </c>
      <c r="H44" s="27">
        <f t="shared" si="4"/>
        <v>2011</v>
      </c>
      <c r="J44" s="5"/>
      <c r="K44" s="5">
        <v>40706</v>
      </c>
      <c r="L44">
        <v>0</v>
      </c>
      <c r="N44" s="7" t="str">
        <f t="shared" si="5"/>
        <v/>
      </c>
      <c r="O44" s="6" t="str">
        <f t="shared" si="6"/>
        <v/>
      </c>
    </row>
    <row r="45" spans="1:15" x14ac:dyDescent="0.25">
      <c r="D45" s="28">
        <f t="shared" si="0"/>
        <v>26</v>
      </c>
      <c r="E45" s="27" t="str">
        <f t="shared" si="1"/>
        <v>Sun</v>
      </c>
      <c r="F45" s="27">
        <f t="shared" si="2"/>
        <v>40713</v>
      </c>
      <c r="G45" s="27">
        <f t="shared" si="3"/>
        <v>19</v>
      </c>
      <c r="H45" s="27">
        <f t="shared" si="4"/>
        <v>2011</v>
      </c>
      <c r="J45" s="5"/>
      <c r="K45" s="5">
        <v>40713</v>
      </c>
      <c r="L45">
        <v>0</v>
      </c>
      <c r="N45" s="7" t="str">
        <f t="shared" si="5"/>
        <v/>
      </c>
      <c r="O45" s="6" t="str">
        <f t="shared" si="6"/>
        <v/>
      </c>
    </row>
    <row r="46" spans="1:15" x14ac:dyDescent="0.25">
      <c r="D46" s="28">
        <f t="shared" si="0"/>
        <v>27</v>
      </c>
      <c r="E46" s="27" t="str">
        <f t="shared" si="1"/>
        <v>Sun</v>
      </c>
      <c r="F46" s="27">
        <f t="shared" si="2"/>
        <v>40720</v>
      </c>
      <c r="G46" s="27">
        <f t="shared" si="3"/>
        <v>26</v>
      </c>
      <c r="H46" s="27">
        <f t="shared" si="4"/>
        <v>2011</v>
      </c>
      <c r="J46" s="5"/>
      <c r="K46" s="5">
        <v>40720</v>
      </c>
      <c r="L46">
        <v>0</v>
      </c>
      <c r="N46" s="7" t="str">
        <f t="shared" si="5"/>
        <v/>
      </c>
      <c r="O46" s="6" t="str">
        <f t="shared" si="6"/>
        <v/>
      </c>
    </row>
    <row r="47" spans="1:15" x14ac:dyDescent="0.25">
      <c r="D47" s="28">
        <f t="shared" si="0"/>
        <v>28</v>
      </c>
      <c r="E47" s="27" t="str">
        <f t="shared" si="1"/>
        <v>Sun</v>
      </c>
      <c r="F47" s="27">
        <f t="shared" si="2"/>
        <v>40727</v>
      </c>
      <c r="G47" s="27">
        <f t="shared" si="3"/>
        <v>3</v>
      </c>
      <c r="H47" s="27">
        <f t="shared" si="4"/>
        <v>2011</v>
      </c>
      <c r="J47" s="5"/>
      <c r="K47" s="5">
        <v>40727</v>
      </c>
      <c r="L47">
        <v>0</v>
      </c>
      <c r="N47" s="7" t="str">
        <f t="shared" si="5"/>
        <v/>
      </c>
      <c r="O47" s="6" t="str">
        <f t="shared" si="6"/>
        <v/>
      </c>
    </row>
    <row r="48" spans="1:15" x14ac:dyDescent="0.25">
      <c r="D48" s="28">
        <f t="shared" si="0"/>
        <v>29</v>
      </c>
      <c r="E48" s="27" t="str">
        <f t="shared" si="1"/>
        <v>Sun</v>
      </c>
      <c r="F48" s="27">
        <f t="shared" si="2"/>
        <v>40734</v>
      </c>
      <c r="G48" s="27">
        <f t="shared" si="3"/>
        <v>10</v>
      </c>
      <c r="H48" s="27">
        <f t="shared" si="4"/>
        <v>2011</v>
      </c>
      <c r="J48" s="5"/>
      <c r="K48" s="5">
        <v>40734</v>
      </c>
      <c r="L48">
        <v>0</v>
      </c>
      <c r="N48" s="7" t="str">
        <f t="shared" si="5"/>
        <v/>
      </c>
      <c r="O48" s="6" t="str">
        <f t="shared" si="6"/>
        <v/>
      </c>
    </row>
    <row r="49" spans="4:15" x14ac:dyDescent="0.25">
      <c r="D49" s="28">
        <f t="shared" si="0"/>
        <v>30</v>
      </c>
      <c r="E49" s="27" t="str">
        <f t="shared" si="1"/>
        <v>Sun</v>
      </c>
      <c r="F49" s="27">
        <f t="shared" si="2"/>
        <v>40741</v>
      </c>
      <c r="G49" s="27">
        <f t="shared" si="3"/>
        <v>17</v>
      </c>
      <c r="H49" s="27">
        <f t="shared" si="4"/>
        <v>2011</v>
      </c>
      <c r="J49" s="5"/>
      <c r="K49" s="5">
        <v>40741</v>
      </c>
      <c r="L49">
        <v>0</v>
      </c>
      <c r="N49" s="7" t="str">
        <f t="shared" si="5"/>
        <v/>
      </c>
      <c r="O49" s="6" t="str">
        <f t="shared" si="6"/>
        <v/>
      </c>
    </row>
    <row r="50" spans="4:15" x14ac:dyDescent="0.25">
      <c r="D50" s="28">
        <f t="shared" si="0"/>
        <v>31</v>
      </c>
      <c r="E50" s="27" t="str">
        <f t="shared" si="1"/>
        <v>Sun</v>
      </c>
      <c r="F50" s="27">
        <f t="shared" si="2"/>
        <v>40748</v>
      </c>
      <c r="G50" s="27">
        <f t="shared" si="3"/>
        <v>24</v>
      </c>
      <c r="H50" s="27">
        <f t="shared" si="4"/>
        <v>2011</v>
      </c>
      <c r="J50" s="5"/>
      <c r="K50" s="5">
        <v>40748</v>
      </c>
      <c r="L50">
        <v>0</v>
      </c>
      <c r="N50" s="7" t="str">
        <f t="shared" si="5"/>
        <v/>
      </c>
      <c r="O50" s="6" t="str">
        <f t="shared" si="6"/>
        <v/>
      </c>
    </row>
    <row r="51" spans="4:15" x14ac:dyDescent="0.25">
      <c r="D51" s="28">
        <f t="shared" si="0"/>
        <v>32</v>
      </c>
      <c r="E51" s="27" t="str">
        <f t="shared" si="1"/>
        <v>Sun</v>
      </c>
      <c r="F51" s="27">
        <f t="shared" si="2"/>
        <v>40755</v>
      </c>
      <c r="G51" s="27">
        <f t="shared" si="3"/>
        <v>31</v>
      </c>
      <c r="H51" s="27">
        <f t="shared" si="4"/>
        <v>2011</v>
      </c>
      <c r="J51" s="5"/>
      <c r="K51" s="5">
        <v>40755</v>
      </c>
      <c r="L51">
        <v>0</v>
      </c>
      <c r="N51" s="7" t="str">
        <f t="shared" si="5"/>
        <v/>
      </c>
      <c r="O51" s="6" t="str">
        <f t="shared" si="6"/>
        <v/>
      </c>
    </row>
    <row r="52" spans="4:15" x14ac:dyDescent="0.25">
      <c r="D52" s="28">
        <f t="shared" si="0"/>
        <v>33</v>
      </c>
      <c r="E52" s="27" t="str">
        <f t="shared" si="1"/>
        <v>Sun</v>
      </c>
      <c r="F52" s="27">
        <f t="shared" si="2"/>
        <v>40762</v>
      </c>
      <c r="G52" s="27">
        <f t="shared" si="3"/>
        <v>7</v>
      </c>
      <c r="H52" s="27">
        <f t="shared" si="4"/>
        <v>2011</v>
      </c>
      <c r="J52" s="5"/>
      <c r="K52" s="5">
        <v>40762</v>
      </c>
      <c r="L52">
        <v>0</v>
      </c>
      <c r="N52" s="7" t="str">
        <f t="shared" si="5"/>
        <v/>
      </c>
      <c r="O52" s="6" t="str">
        <f t="shared" si="6"/>
        <v/>
      </c>
    </row>
    <row r="53" spans="4:15" x14ac:dyDescent="0.25">
      <c r="D53" s="28">
        <f t="shared" si="0"/>
        <v>34</v>
      </c>
      <c r="E53" s="27" t="str">
        <f t="shared" si="1"/>
        <v>Sun</v>
      </c>
      <c r="F53" s="27">
        <f t="shared" si="2"/>
        <v>40769</v>
      </c>
      <c r="G53" s="27">
        <f t="shared" si="3"/>
        <v>14</v>
      </c>
      <c r="H53" s="27">
        <f t="shared" si="4"/>
        <v>2011</v>
      </c>
      <c r="K53" s="5">
        <v>40769</v>
      </c>
      <c r="L53">
        <v>0</v>
      </c>
      <c r="N53" s="7" t="str">
        <f t="shared" si="5"/>
        <v/>
      </c>
      <c r="O53" s="6" t="str">
        <f t="shared" si="6"/>
        <v/>
      </c>
    </row>
    <row r="54" spans="4:15" x14ac:dyDescent="0.25">
      <c r="D54" s="28">
        <f t="shared" si="0"/>
        <v>35</v>
      </c>
      <c r="E54" s="27" t="str">
        <f t="shared" si="1"/>
        <v>Sun</v>
      </c>
      <c r="F54" s="27">
        <f t="shared" si="2"/>
        <v>40776</v>
      </c>
      <c r="G54" s="27">
        <f t="shared" si="3"/>
        <v>21</v>
      </c>
      <c r="H54" s="27">
        <f t="shared" si="4"/>
        <v>2011</v>
      </c>
      <c r="K54" s="5">
        <v>40776</v>
      </c>
      <c r="L54">
        <v>0</v>
      </c>
      <c r="N54" s="7" t="str">
        <f t="shared" si="5"/>
        <v/>
      </c>
      <c r="O54" s="6" t="str">
        <f t="shared" si="6"/>
        <v/>
      </c>
    </row>
    <row r="55" spans="4:15" x14ac:dyDescent="0.25">
      <c r="D55" s="28">
        <f t="shared" si="0"/>
        <v>36</v>
      </c>
      <c r="E55" s="27" t="str">
        <f t="shared" si="1"/>
        <v>Sun</v>
      </c>
      <c r="F55" s="27">
        <f t="shared" si="2"/>
        <v>40783</v>
      </c>
      <c r="G55" s="27">
        <f t="shared" si="3"/>
        <v>28</v>
      </c>
      <c r="H55" s="27">
        <f t="shared" si="4"/>
        <v>2011</v>
      </c>
      <c r="K55" s="5">
        <v>40783</v>
      </c>
      <c r="L55">
        <v>0</v>
      </c>
      <c r="N55" s="7" t="str">
        <f t="shared" si="5"/>
        <v/>
      </c>
      <c r="O55" s="6" t="str">
        <f t="shared" si="6"/>
        <v/>
      </c>
    </row>
    <row r="56" spans="4:15" x14ac:dyDescent="0.25">
      <c r="D56" s="28">
        <f t="shared" si="0"/>
        <v>37</v>
      </c>
      <c r="E56" s="27" t="str">
        <f t="shared" si="1"/>
        <v>Sun</v>
      </c>
      <c r="F56" s="27">
        <f t="shared" si="2"/>
        <v>40790</v>
      </c>
      <c r="G56" s="27">
        <f t="shared" si="3"/>
        <v>4</v>
      </c>
      <c r="H56" s="27">
        <f t="shared" si="4"/>
        <v>2011</v>
      </c>
      <c r="K56" s="5">
        <v>40790</v>
      </c>
      <c r="L56">
        <v>0</v>
      </c>
      <c r="N56" s="7" t="str">
        <f t="shared" si="5"/>
        <v/>
      </c>
      <c r="O56" s="6" t="str">
        <f t="shared" si="6"/>
        <v/>
      </c>
    </row>
    <row r="57" spans="4:15" x14ac:dyDescent="0.25">
      <c r="D57" s="28">
        <f t="shared" si="0"/>
        <v>38</v>
      </c>
      <c r="E57" s="27" t="str">
        <f t="shared" si="1"/>
        <v>Sun</v>
      </c>
      <c r="F57" s="27">
        <f t="shared" si="2"/>
        <v>40797</v>
      </c>
      <c r="G57" s="27">
        <f t="shared" si="3"/>
        <v>11</v>
      </c>
      <c r="H57" s="27">
        <f t="shared" si="4"/>
        <v>2011</v>
      </c>
      <c r="K57" s="5">
        <v>40797</v>
      </c>
      <c r="L57">
        <v>0</v>
      </c>
      <c r="N57" s="7" t="str">
        <f t="shared" si="5"/>
        <v/>
      </c>
      <c r="O57" s="6" t="str">
        <f t="shared" si="6"/>
        <v/>
      </c>
    </row>
    <row r="58" spans="4:15" x14ac:dyDescent="0.25">
      <c r="D58" s="28">
        <f t="shared" si="0"/>
        <v>39</v>
      </c>
      <c r="E58" s="27" t="str">
        <f t="shared" si="1"/>
        <v>Sun</v>
      </c>
      <c r="F58" s="27">
        <f t="shared" si="2"/>
        <v>40804</v>
      </c>
      <c r="G58" s="27">
        <f t="shared" si="3"/>
        <v>18</v>
      </c>
      <c r="H58" s="27">
        <f t="shared" si="4"/>
        <v>2011</v>
      </c>
      <c r="K58" s="5">
        <v>40804</v>
      </c>
      <c r="L58">
        <v>0</v>
      </c>
      <c r="N58" s="7" t="str">
        <f t="shared" si="5"/>
        <v/>
      </c>
      <c r="O58" s="6" t="str">
        <f t="shared" si="6"/>
        <v/>
      </c>
    </row>
    <row r="59" spans="4:15" x14ac:dyDescent="0.25">
      <c r="D59" s="28">
        <f t="shared" si="0"/>
        <v>40</v>
      </c>
      <c r="E59" s="27" t="str">
        <f t="shared" si="1"/>
        <v>Sun</v>
      </c>
      <c r="F59" s="27">
        <f t="shared" si="2"/>
        <v>40811</v>
      </c>
      <c r="G59" s="27">
        <f t="shared" si="3"/>
        <v>25</v>
      </c>
      <c r="H59" s="27">
        <f t="shared" si="4"/>
        <v>2011</v>
      </c>
      <c r="K59" s="5">
        <v>40811</v>
      </c>
      <c r="L59">
        <v>1583</v>
      </c>
      <c r="N59" s="7" t="str">
        <f t="shared" si="5"/>
        <v/>
      </c>
      <c r="O59" s="6" t="str">
        <f t="shared" si="6"/>
        <v/>
      </c>
    </row>
    <row r="60" spans="4:15" x14ac:dyDescent="0.25">
      <c r="D60" s="28">
        <f t="shared" si="0"/>
        <v>41</v>
      </c>
      <c r="E60" s="27" t="str">
        <f t="shared" si="1"/>
        <v>Sun</v>
      </c>
      <c r="F60" s="27">
        <f t="shared" si="2"/>
        <v>40818</v>
      </c>
      <c r="G60" s="27">
        <f t="shared" si="3"/>
        <v>2</v>
      </c>
      <c r="H60" s="27">
        <f t="shared" si="4"/>
        <v>2011</v>
      </c>
      <c r="K60" s="5">
        <v>40818</v>
      </c>
      <c r="L60">
        <v>18586</v>
      </c>
      <c r="N60" s="7" t="str">
        <f t="shared" si="5"/>
        <v/>
      </c>
      <c r="O60" s="6" t="str">
        <f t="shared" si="6"/>
        <v/>
      </c>
    </row>
    <row r="61" spans="4:15" x14ac:dyDescent="0.25">
      <c r="D61" s="28">
        <f t="shared" si="0"/>
        <v>42</v>
      </c>
      <c r="E61" s="27" t="str">
        <f t="shared" si="1"/>
        <v>Sun</v>
      </c>
      <c r="F61" s="27">
        <f t="shared" si="2"/>
        <v>40825</v>
      </c>
      <c r="G61" s="27">
        <f t="shared" si="3"/>
        <v>9</v>
      </c>
      <c r="H61" s="27">
        <f t="shared" si="4"/>
        <v>2011</v>
      </c>
      <c r="K61" s="5">
        <v>40825</v>
      </c>
      <c r="L61">
        <v>18978</v>
      </c>
      <c r="N61" s="7" t="str">
        <f t="shared" si="5"/>
        <v/>
      </c>
      <c r="O61" s="6" t="str">
        <f t="shared" si="6"/>
        <v/>
      </c>
    </row>
    <row r="62" spans="4:15" x14ac:dyDescent="0.25">
      <c r="D62" s="28">
        <f t="shared" si="0"/>
        <v>43</v>
      </c>
      <c r="E62" s="27" t="str">
        <f t="shared" si="1"/>
        <v>Sun</v>
      </c>
      <c r="F62" s="27">
        <f t="shared" si="2"/>
        <v>40832</v>
      </c>
      <c r="G62" s="27">
        <f t="shared" si="3"/>
        <v>16</v>
      </c>
      <c r="H62" s="27">
        <f t="shared" si="4"/>
        <v>2011</v>
      </c>
      <c r="K62" s="5">
        <v>40832</v>
      </c>
      <c r="L62">
        <v>20378</v>
      </c>
      <c r="N62" s="7" t="str">
        <f t="shared" si="5"/>
        <v/>
      </c>
      <c r="O62" s="6" t="str">
        <f t="shared" si="6"/>
        <v/>
      </c>
    </row>
    <row r="63" spans="4:15" x14ac:dyDescent="0.25">
      <c r="D63" s="28">
        <f t="shared" si="0"/>
        <v>44</v>
      </c>
      <c r="E63" s="27" t="str">
        <f t="shared" si="1"/>
        <v>Sun</v>
      </c>
      <c r="F63" s="27">
        <f t="shared" si="2"/>
        <v>40839</v>
      </c>
      <c r="G63" s="27">
        <f t="shared" si="3"/>
        <v>23</v>
      </c>
      <c r="H63" s="27">
        <f t="shared" si="4"/>
        <v>2011</v>
      </c>
      <c r="K63" s="5">
        <v>40839</v>
      </c>
      <c r="L63">
        <v>20368</v>
      </c>
      <c r="N63" s="7" t="str">
        <f t="shared" si="5"/>
        <v/>
      </c>
      <c r="O63" s="6" t="str">
        <f t="shared" si="6"/>
        <v/>
      </c>
    </row>
    <row r="64" spans="4:15" x14ac:dyDescent="0.25">
      <c r="D64" s="28">
        <f t="shared" si="0"/>
        <v>45</v>
      </c>
      <c r="E64" s="27" t="str">
        <f t="shared" si="1"/>
        <v>Sun</v>
      </c>
      <c r="F64" s="27">
        <f t="shared" si="2"/>
        <v>40846</v>
      </c>
      <c r="G64" s="27">
        <f t="shared" si="3"/>
        <v>30</v>
      </c>
      <c r="H64" s="27">
        <f t="shared" si="4"/>
        <v>2011</v>
      </c>
      <c r="K64" s="5">
        <v>40846</v>
      </c>
      <c r="L64">
        <v>21573</v>
      </c>
      <c r="N64" s="7" t="str">
        <f t="shared" si="5"/>
        <v/>
      </c>
      <c r="O64" s="6" t="str">
        <f t="shared" si="6"/>
        <v/>
      </c>
    </row>
    <row r="65" spans="4:15" x14ac:dyDescent="0.25">
      <c r="D65" s="28">
        <f t="shared" si="0"/>
        <v>46</v>
      </c>
      <c r="E65" s="27" t="str">
        <f t="shared" si="1"/>
        <v>Sun</v>
      </c>
      <c r="F65" s="27">
        <f t="shared" si="2"/>
        <v>40853</v>
      </c>
      <c r="G65" s="27">
        <f t="shared" si="3"/>
        <v>6</v>
      </c>
      <c r="H65" s="27">
        <f t="shared" si="4"/>
        <v>2011</v>
      </c>
      <c r="K65" s="5">
        <v>40853</v>
      </c>
      <c r="L65">
        <v>30113</v>
      </c>
      <c r="N65" s="7" t="str">
        <f t="shared" si="5"/>
        <v/>
      </c>
      <c r="O65" s="6" t="str">
        <f t="shared" si="6"/>
        <v/>
      </c>
    </row>
    <row r="66" spans="4:15" x14ac:dyDescent="0.25">
      <c r="D66" s="28">
        <f t="shared" si="0"/>
        <v>47</v>
      </c>
      <c r="E66" s="27" t="str">
        <f t="shared" si="1"/>
        <v>Sun</v>
      </c>
      <c r="F66" s="27">
        <f t="shared" si="2"/>
        <v>40860</v>
      </c>
      <c r="G66" s="27">
        <f t="shared" si="3"/>
        <v>13</v>
      </c>
      <c r="H66" s="27">
        <f t="shared" si="4"/>
        <v>2011</v>
      </c>
      <c r="K66" s="5">
        <v>40860</v>
      </c>
      <c r="L66">
        <v>33300</v>
      </c>
      <c r="N66" s="7" t="str">
        <f t="shared" si="5"/>
        <v/>
      </c>
      <c r="O66" s="6" t="str">
        <f t="shared" si="6"/>
        <v/>
      </c>
    </row>
    <row r="67" spans="4:15" x14ac:dyDescent="0.25">
      <c r="D67" s="28">
        <f t="shared" si="0"/>
        <v>48</v>
      </c>
      <c r="E67" s="27" t="str">
        <f t="shared" si="1"/>
        <v>Sun</v>
      </c>
      <c r="F67" s="27">
        <f t="shared" si="2"/>
        <v>40867</v>
      </c>
      <c r="G67" s="27">
        <f t="shared" si="3"/>
        <v>20</v>
      </c>
      <c r="H67" s="27">
        <f t="shared" si="4"/>
        <v>2011</v>
      </c>
      <c r="K67" s="5">
        <v>40867</v>
      </c>
      <c r="L67">
        <v>36540</v>
      </c>
      <c r="N67" s="7" t="str">
        <f t="shared" si="5"/>
        <v/>
      </c>
      <c r="O67" s="6" t="str">
        <f t="shared" si="6"/>
        <v/>
      </c>
    </row>
    <row r="68" spans="4:15" x14ac:dyDescent="0.25">
      <c r="D68" s="28">
        <f t="shared" si="0"/>
        <v>49</v>
      </c>
      <c r="E68" s="27" t="str">
        <f t="shared" si="1"/>
        <v>Sun</v>
      </c>
      <c r="F68" s="27">
        <f t="shared" si="2"/>
        <v>40874</v>
      </c>
      <c r="G68" s="27">
        <f t="shared" si="3"/>
        <v>27</v>
      </c>
      <c r="H68" s="27">
        <f t="shared" si="4"/>
        <v>2011</v>
      </c>
      <c r="K68" s="5">
        <v>40874</v>
      </c>
      <c r="L68">
        <v>43273</v>
      </c>
      <c r="N68" s="7" t="str">
        <f t="shared" si="5"/>
        <v/>
      </c>
      <c r="O68" s="6" t="str">
        <f t="shared" si="6"/>
        <v/>
      </c>
    </row>
    <row r="69" spans="4:15" x14ac:dyDescent="0.25">
      <c r="D69" s="28">
        <f t="shared" si="0"/>
        <v>50</v>
      </c>
      <c r="E69" s="27" t="str">
        <f t="shared" si="1"/>
        <v>Sun</v>
      </c>
      <c r="F69" s="27">
        <f t="shared" si="2"/>
        <v>40881</v>
      </c>
      <c r="G69" s="27">
        <f t="shared" si="3"/>
        <v>4</v>
      </c>
      <c r="H69" s="27">
        <f t="shared" si="4"/>
        <v>2011</v>
      </c>
      <c r="K69" s="5">
        <v>40881</v>
      </c>
      <c r="L69">
        <v>62672</v>
      </c>
      <c r="N69" s="7" t="str">
        <f t="shared" si="5"/>
        <v/>
      </c>
      <c r="O69" s="6" t="str">
        <f t="shared" si="6"/>
        <v/>
      </c>
    </row>
    <row r="70" spans="4:15" x14ac:dyDescent="0.25">
      <c r="D70" s="28">
        <f t="shared" si="0"/>
        <v>51</v>
      </c>
      <c r="E70" s="27" t="str">
        <f t="shared" si="1"/>
        <v>Sun</v>
      </c>
      <c r="F70" s="27">
        <f t="shared" si="2"/>
        <v>40888</v>
      </c>
      <c r="G70" s="27">
        <f t="shared" si="3"/>
        <v>11</v>
      </c>
      <c r="H70" s="27">
        <f t="shared" si="4"/>
        <v>2011</v>
      </c>
      <c r="K70" s="5">
        <v>40888</v>
      </c>
      <c r="L70">
        <v>60545</v>
      </c>
      <c r="N70" s="7" t="str">
        <f t="shared" si="5"/>
        <v/>
      </c>
      <c r="O70" s="6" t="str">
        <f t="shared" si="6"/>
        <v/>
      </c>
    </row>
    <row r="71" spans="4:15" x14ac:dyDescent="0.25">
      <c r="D71" s="28">
        <f t="shared" si="0"/>
        <v>52</v>
      </c>
      <c r="E71" s="27" t="str">
        <f t="shared" si="1"/>
        <v>Sun</v>
      </c>
      <c r="F71" s="27">
        <f t="shared" si="2"/>
        <v>40895</v>
      </c>
      <c r="G71" s="27">
        <f t="shared" si="3"/>
        <v>18</v>
      </c>
      <c r="H71" s="27">
        <f t="shared" si="4"/>
        <v>2011</v>
      </c>
      <c r="K71" s="5">
        <v>40895</v>
      </c>
      <c r="L71">
        <v>32801</v>
      </c>
      <c r="N71" s="7" t="str">
        <f t="shared" si="5"/>
        <v/>
      </c>
      <c r="O71" s="6" t="str">
        <f t="shared" si="6"/>
        <v/>
      </c>
    </row>
    <row r="72" spans="4:15" x14ac:dyDescent="0.25">
      <c r="D72" s="28">
        <f t="shared" ref="D72:D135" si="13">IF(K72&lt;&gt;"",1+INT((K72-(DATE(YEAR(K72),1,2)-WEEKDAY(DATE(YEAR(K72),1,1))))/7),"")</f>
        <v>53</v>
      </c>
      <c r="E72" s="27" t="str">
        <f t="shared" ref="E72:E135" si="14">IF(K72&lt;&gt;"",TEXT(K72,"ddd"),"")</f>
        <v>Sun</v>
      </c>
      <c r="F72" s="27">
        <f t="shared" ref="F72:F108" si="15">K72</f>
        <v>40902</v>
      </c>
      <c r="G72" s="27">
        <f t="shared" ref="G72:G135" si="16">IF(K72&lt;&gt;"",DAY(K72),"")</f>
        <v>25</v>
      </c>
      <c r="H72" s="27">
        <f t="shared" ref="H72:H135" si="17">IF(K72&lt;&gt;"",YEAR(K72),"")</f>
        <v>2011</v>
      </c>
      <c r="K72" s="5">
        <v>40902</v>
      </c>
      <c r="L72">
        <v>27626</v>
      </c>
      <c r="N72" s="7" t="str">
        <f t="shared" ref="N72:N135" si="18">IF(W72&lt;&gt;"",1+INT((W72-(DATE(YEAR(W72),1,2)-WEEKDAY(DATE(YEAR(W72),1,1))))/7),"")</f>
        <v/>
      </c>
      <c r="O72" s="6" t="str">
        <f t="shared" ref="O72:O135" si="19">IF(W72&lt;&gt;"",TEXT(W72,"ddd"),"")</f>
        <v/>
      </c>
    </row>
    <row r="73" spans="4:15" x14ac:dyDescent="0.25">
      <c r="D73" s="28">
        <f t="shared" si="13"/>
        <v>1</v>
      </c>
      <c r="E73" s="27" t="str">
        <f t="shared" si="14"/>
        <v>Sun</v>
      </c>
      <c r="F73" s="27">
        <f t="shared" si="15"/>
        <v>40909</v>
      </c>
      <c r="G73" s="27">
        <f t="shared" si="16"/>
        <v>1</v>
      </c>
      <c r="H73" s="27">
        <f t="shared" si="17"/>
        <v>2012</v>
      </c>
      <c r="K73" s="5">
        <v>40909</v>
      </c>
      <c r="L73">
        <v>33943</v>
      </c>
      <c r="N73" s="7" t="str">
        <f t="shared" si="18"/>
        <v/>
      </c>
      <c r="O73" s="6" t="str">
        <f t="shared" si="19"/>
        <v/>
      </c>
    </row>
    <row r="74" spans="4:15" x14ac:dyDescent="0.25">
      <c r="D74" s="28">
        <f t="shared" si="13"/>
        <v>2</v>
      </c>
      <c r="E74" s="27" t="str">
        <f t="shared" si="14"/>
        <v>Sun</v>
      </c>
      <c r="F74" s="27">
        <f t="shared" si="15"/>
        <v>40916</v>
      </c>
      <c r="G74" s="27">
        <f t="shared" si="16"/>
        <v>8</v>
      </c>
      <c r="H74" s="27">
        <f t="shared" si="17"/>
        <v>2012</v>
      </c>
      <c r="K74" s="5">
        <v>40916</v>
      </c>
      <c r="L74">
        <v>38281</v>
      </c>
      <c r="N74" s="7" t="str">
        <f t="shared" si="18"/>
        <v/>
      </c>
      <c r="O74" s="6" t="str">
        <f t="shared" si="19"/>
        <v/>
      </c>
    </row>
    <row r="75" spans="4:15" x14ac:dyDescent="0.25">
      <c r="D75" s="28">
        <f t="shared" si="13"/>
        <v>3</v>
      </c>
      <c r="E75" s="27" t="str">
        <f t="shared" si="14"/>
        <v>Sun</v>
      </c>
      <c r="F75" s="27">
        <f t="shared" si="15"/>
        <v>40923</v>
      </c>
      <c r="G75" s="27">
        <f t="shared" si="16"/>
        <v>15</v>
      </c>
      <c r="H75" s="27">
        <f t="shared" si="17"/>
        <v>2012</v>
      </c>
      <c r="K75" s="5">
        <v>40923</v>
      </c>
      <c r="L75">
        <v>44565</v>
      </c>
      <c r="N75" s="7" t="str">
        <f t="shared" si="18"/>
        <v/>
      </c>
      <c r="O75" s="6" t="str">
        <f t="shared" si="19"/>
        <v/>
      </c>
    </row>
    <row r="76" spans="4:15" x14ac:dyDescent="0.25">
      <c r="D76" s="28">
        <f t="shared" si="13"/>
        <v>4</v>
      </c>
      <c r="E76" s="27" t="str">
        <f t="shared" si="14"/>
        <v>Sun</v>
      </c>
      <c r="F76" s="27">
        <f t="shared" si="15"/>
        <v>40930</v>
      </c>
      <c r="G76" s="27">
        <f t="shared" si="16"/>
        <v>22</v>
      </c>
      <c r="H76" s="27">
        <f t="shared" si="17"/>
        <v>2012</v>
      </c>
      <c r="K76" s="5">
        <v>40930</v>
      </c>
      <c r="L76">
        <v>37658</v>
      </c>
      <c r="N76" s="7" t="str">
        <f t="shared" si="18"/>
        <v/>
      </c>
      <c r="O76" s="6" t="str">
        <f t="shared" si="19"/>
        <v/>
      </c>
    </row>
    <row r="77" spans="4:15" x14ac:dyDescent="0.25">
      <c r="D77" s="28">
        <f t="shared" si="13"/>
        <v>5</v>
      </c>
      <c r="E77" s="27" t="str">
        <f t="shared" si="14"/>
        <v>Sun</v>
      </c>
      <c r="F77" s="27">
        <f t="shared" si="15"/>
        <v>40937</v>
      </c>
      <c r="G77" s="27">
        <f t="shared" si="16"/>
        <v>29</v>
      </c>
      <c r="H77" s="27">
        <f t="shared" si="17"/>
        <v>2012</v>
      </c>
      <c r="K77" s="5">
        <v>40937</v>
      </c>
      <c r="L77">
        <v>35193</v>
      </c>
      <c r="N77" s="7" t="str">
        <f t="shared" si="18"/>
        <v/>
      </c>
      <c r="O77" s="6" t="str">
        <f t="shared" si="19"/>
        <v/>
      </c>
    </row>
    <row r="78" spans="4:15" x14ac:dyDescent="0.25">
      <c r="D78" s="28">
        <f t="shared" si="13"/>
        <v>6</v>
      </c>
      <c r="E78" s="27" t="str">
        <f t="shared" si="14"/>
        <v>Sun</v>
      </c>
      <c r="F78" s="27">
        <f t="shared" si="15"/>
        <v>40944</v>
      </c>
      <c r="G78" s="27">
        <f t="shared" si="16"/>
        <v>5</v>
      </c>
      <c r="H78" s="27">
        <f t="shared" si="17"/>
        <v>2012</v>
      </c>
      <c r="K78" s="5">
        <v>40944</v>
      </c>
      <c r="L78">
        <v>36166</v>
      </c>
      <c r="N78" s="7" t="str">
        <f t="shared" si="18"/>
        <v/>
      </c>
      <c r="O78" s="6" t="str">
        <f t="shared" si="19"/>
        <v/>
      </c>
    </row>
    <row r="79" spans="4:15" x14ac:dyDescent="0.25">
      <c r="D79" s="28">
        <f t="shared" si="13"/>
        <v>7</v>
      </c>
      <c r="E79" s="27" t="str">
        <f t="shared" si="14"/>
        <v>Sun</v>
      </c>
      <c r="F79" s="27">
        <f t="shared" si="15"/>
        <v>40951</v>
      </c>
      <c r="G79" s="27">
        <f t="shared" si="16"/>
        <v>12</v>
      </c>
      <c r="H79" s="27">
        <f t="shared" si="17"/>
        <v>2012</v>
      </c>
      <c r="K79" s="5">
        <v>40951</v>
      </c>
      <c r="L79">
        <v>32137</v>
      </c>
      <c r="N79" s="7" t="str">
        <f t="shared" si="18"/>
        <v/>
      </c>
      <c r="O79" s="6" t="str">
        <f t="shared" si="19"/>
        <v/>
      </c>
    </row>
    <row r="80" spans="4:15" x14ac:dyDescent="0.25">
      <c r="D80" s="28">
        <f t="shared" si="13"/>
        <v>8</v>
      </c>
      <c r="E80" s="27" t="str">
        <f t="shared" si="14"/>
        <v>Sun</v>
      </c>
      <c r="F80" s="27">
        <f t="shared" si="15"/>
        <v>40958</v>
      </c>
      <c r="G80" s="27">
        <f t="shared" si="16"/>
        <v>19</v>
      </c>
      <c r="H80" s="27">
        <f t="shared" si="17"/>
        <v>2012</v>
      </c>
      <c r="K80" s="5">
        <v>40958</v>
      </c>
      <c r="L80">
        <v>30173</v>
      </c>
      <c r="N80" s="7" t="str">
        <f t="shared" si="18"/>
        <v/>
      </c>
      <c r="O80" s="6" t="str">
        <f t="shared" si="19"/>
        <v/>
      </c>
    </row>
    <row r="81" spans="4:15" x14ac:dyDescent="0.25">
      <c r="D81" s="28">
        <f t="shared" si="13"/>
        <v>9</v>
      </c>
      <c r="E81" s="27" t="str">
        <f t="shared" si="14"/>
        <v>Sun</v>
      </c>
      <c r="F81" s="27">
        <f t="shared" si="15"/>
        <v>40965</v>
      </c>
      <c r="G81" s="27">
        <f t="shared" si="16"/>
        <v>26</v>
      </c>
      <c r="H81" s="27">
        <f t="shared" si="17"/>
        <v>2012</v>
      </c>
      <c r="K81" s="5">
        <v>40965</v>
      </c>
      <c r="L81">
        <v>31179</v>
      </c>
      <c r="N81" s="7" t="str">
        <f t="shared" si="18"/>
        <v/>
      </c>
      <c r="O81" s="6" t="str">
        <f t="shared" si="19"/>
        <v/>
      </c>
    </row>
    <row r="82" spans="4:15" x14ac:dyDescent="0.25">
      <c r="D82" s="28">
        <f t="shared" si="13"/>
        <v>10</v>
      </c>
      <c r="E82" s="27" t="str">
        <f t="shared" si="14"/>
        <v>Sun</v>
      </c>
      <c r="F82" s="27">
        <f t="shared" si="15"/>
        <v>40972</v>
      </c>
      <c r="G82" s="27">
        <f t="shared" si="16"/>
        <v>4</v>
      </c>
      <c r="H82" s="27">
        <f t="shared" si="17"/>
        <v>2012</v>
      </c>
      <c r="K82" s="5">
        <v>40972</v>
      </c>
      <c r="L82">
        <v>30826</v>
      </c>
      <c r="N82" s="7" t="str">
        <f t="shared" si="18"/>
        <v/>
      </c>
      <c r="O82" s="6" t="str">
        <f t="shared" si="19"/>
        <v/>
      </c>
    </row>
    <row r="83" spans="4:15" x14ac:dyDescent="0.25">
      <c r="D83" s="28">
        <f t="shared" si="13"/>
        <v>11</v>
      </c>
      <c r="E83" s="27" t="str">
        <f t="shared" si="14"/>
        <v>Sun</v>
      </c>
      <c r="F83" s="27">
        <f t="shared" si="15"/>
        <v>40979</v>
      </c>
      <c r="G83" s="27">
        <f t="shared" si="16"/>
        <v>11</v>
      </c>
      <c r="H83" s="27">
        <f t="shared" si="17"/>
        <v>2012</v>
      </c>
      <c r="K83" s="5">
        <v>40979</v>
      </c>
      <c r="L83">
        <v>32355</v>
      </c>
      <c r="N83" s="7" t="str">
        <f t="shared" si="18"/>
        <v/>
      </c>
      <c r="O83" s="6" t="str">
        <f t="shared" si="19"/>
        <v/>
      </c>
    </row>
    <row r="84" spans="4:15" x14ac:dyDescent="0.25">
      <c r="D84" s="28">
        <f t="shared" si="13"/>
        <v>12</v>
      </c>
      <c r="E84" s="27" t="str">
        <f t="shared" si="14"/>
        <v>Sun</v>
      </c>
      <c r="F84" s="27">
        <f t="shared" si="15"/>
        <v>40986</v>
      </c>
      <c r="G84" s="27">
        <f t="shared" si="16"/>
        <v>18</v>
      </c>
      <c r="H84" s="27">
        <f t="shared" si="17"/>
        <v>2012</v>
      </c>
      <c r="K84" s="5">
        <v>40986</v>
      </c>
      <c r="L84">
        <v>48570</v>
      </c>
      <c r="N84" s="7" t="str">
        <f t="shared" si="18"/>
        <v/>
      </c>
      <c r="O84" s="6" t="str">
        <f t="shared" si="19"/>
        <v/>
      </c>
    </row>
    <row r="85" spans="4:15" x14ac:dyDescent="0.25">
      <c r="D85" s="28">
        <f t="shared" si="13"/>
        <v>13</v>
      </c>
      <c r="E85" s="27" t="str">
        <f t="shared" si="14"/>
        <v>Sun</v>
      </c>
      <c r="F85" s="27">
        <f t="shared" si="15"/>
        <v>40993</v>
      </c>
      <c r="G85" s="27">
        <f t="shared" si="16"/>
        <v>25</v>
      </c>
      <c r="H85" s="27">
        <f t="shared" si="17"/>
        <v>2012</v>
      </c>
      <c r="K85" s="5">
        <v>40993</v>
      </c>
      <c r="L85">
        <v>46397</v>
      </c>
      <c r="N85" s="7" t="str">
        <f t="shared" si="18"/>
        <v/>
      </c>
      <c r="O85" s="6" t="str">
        <f t="shared" si="19"/>
        <v/>
      </c>
    </row>
    <row r="86" spans="4:15" x14ac:dyDescent="0.25">
      <c r="D86" s="28">
        <f t="shared" si="13"/>
        <v>14</v>
      </c>
      <c r="E86" s="27" t="str">
        <f t="shared" si="14"/>
        <v>Sun</v>
      </c>
      <c r="F86" s="27">
        <f t="shared" si="15"/>
        <v>41000</v>
      </c>
      <c r="G86" s="27">
        <f t="shared" si="16"/>
        <v>1</v>
      </c>
      <c r="H86" s="27">
        <f t="shared" si="17"/>
        <v>2012</v>
      </c>
      <c r="K86" s="5">
        <v>41000</v>
      </c>
      <c r="L86">
        <v>40854</v>
      </c>
      <c r="N86" s="7" t="str">
        <f t="shared" si="18"/>
        <v/>
      </c>
      <c r="O86" s="6" t="str">
        <f t="shared" si="19"/>
        <v/>
      </c>
    </row>
    <row r="87" spans="4:15" x14ac:dyDescent="0.25">
      <c r="D87" s="28">
        <f t="shared" si="13"/>
        <v>15</v>
      </c>
      <c r="E87" s="27" t="str">
        <f t="shared" si="14"/>
        <v>Sun</v>
      </c>
      <c r="F87" s="27">
        <f t="shared" si="15"/>
        <v>41007</v>
      </c>
      <c r="G87" s="27">
        <f t="shared" si="16"/>
        <v>8</v>
      </c>
      <c r="H87" s="27">
        <f t="shared" si="17"/>
        <v>2012</v>
      </c>
      <c r="K87" s="5">
        <v>41007</v>
      </c>
      <c r="L87">
        <v>44755</v>
      </c>
      <c r="N87" s="7" t="str">
        <f t="shared" si="18"/>
        <v/>
      </c>
      <c r="O87" s="6" t="str">
        <f t="shared" si="19"/>
        <v/>
      </c>
    </row>
    <row r="88" spans="4:15" x14ac:dyDescent="0.25">
      <c r="D88" s="28">
        <f t="shared" si="13"/>
        <v>16</v>
      </c>
      <c r="E88" s="27" t="str">
        <f t="shared" si="14"/>
        <v>Sun</v>
      </c>
      <c r="F88" s="27">
        <f t="shared" si="15"/>
        <v>41014</v>
      </c>
      <c r="G88" s="27">
        <f t="shared" si="16"/>
        <v>15</v>
      </c>
      <c r="H88" s="27">
        <f t="shared" si="17"/>
        <v>2012</v>
      </c>
      <c r="K88" s="5">
        <v>41014</v>
      </c>
      <c r="L88">
        <v>41676</v>
      </c>
      <c r="N88" s="7" t="str">
        <f t="shared" si="18"/>
        <v/>
      </c>
      <c r="O88" s="6" t="str">
        <f t="shared" si="19"/>
        <v/>
      </c>
    </row>
    <row r="89" spans="4:15" x14ac:dyDescent="0.25">
      <c r="D89" s="28">
        <f t="shared" si="13"/>
        <v>17</v>
      </c>
      <c r="E89" s="27" t="str">
        <f t="shared" si="14"/>
        <v>Sun</v>
      </c>
      <c r="F89" s="27">
        <f t="shared" si="15"/>
        <v>41021</v>
      </c>
      <c r="G89" s="27">
        <f t="shared" si="16"/>
        <v>22</v>
      </c>
      <c r="H89" s="27">
        <f t="shared" si="17"/>
        <v>2012</v>
      </c>
      <c r="K89" s="5">
        <v>41021</v>
      </c>
      <c r="L89">
        <v>42731</v>
      </c>
      <c r="N89" s="7" t="str">
        <f t="shared" si="18"/>
        <v/>
      </c>
      <c r="O89" s="6" t="str">
        <f t="shared" si="19"/>
        <v/>
      </c>
    </row>
    <row r="90" spans="4:15" x14ac:dyDescent="0.25">
      <c r="D90" s="28">
        <f t="shared" si="13"/>
        <v>18</v>
      </c>
      <c r="E90" s="27" t="str">
        <f t="shared" si="14"/>
        <v>Sun</v>
      </c>
      <c r="F90" s="27">
        <f t="shared" si="15"/>
        <v>41028</v>
      </c>
      <c r="G90" s="27">
        <f t="shared" si="16"/>
        <v>29</v>
      </c>
      <c r="H90" s="27">
        <f t="shared" si="17"/>
        <v>2012</v>
      </c>
      <c r="K90" s="5">
        <v>41028</v>
      </c>
      <c r="L90">
        <v>43805</v>
      </c>
      <c r="N90" s="7" t="str">
        <f t="shared" si="18"/>
        <v/>
      </c>
      <c r="O90" s="6" t="str">
        <f t="shared" si="19"/>
        <v/>
      </c>
    </row>
    <row r="91" spans="4:15" x14ac:dyDescent="0.25">
      <c r="D91" s="28">
        <f t="shared" si="13"/>
        <v>19</v>
      </c>
      <c r="E91" s="27" t="str">
        <f t="shared" si="14"/>
        <v>Sun</v>
      </c>
      <c r="F91" s="27">
        <f t="shared" si="15"/>
        <v>41035</v>
      </c>
      <c r="G91" s="27">
        <f t="shared" si="16"/>
        <v>6</v>
      </c>
      <c r="H91" s="27">
        <f t="shared" si="17"/>
        <v>2012</v>
      </c>
      <c r="K91" s="5">
        <v>41035</v>
      </c>
      <c r="L91">
        <v>40417</v>
      </c>
      <c r="N91" s="7" t="str">
        <f t="shared" si="18"/>
        <v/>
      </c>
      <c r="O91" s="6" t="str">
        <f t="shared" si="19"/>
        <v/>
      </c>
    </row>
    <row r="92" spans="4:15" x14ac:dyDescent="0.25">
      <c r="D92" s="28">
        <f t="shared" si="13"/>
        <v>20</v>
      </c>
      <c r="E92" s="27" t="str">
        <f t="shared" si="14"/>
        <v>Sun</v>
      </c>
      <c r="F92" s="27">
        <f t="shared" si="15"/>
        <v>41042</v>
      </c>
      <c r="G92" s="27">
        <f t="shared" si="16"/>
        <v>13</v>
      </c>
      <c r="H92" s="27">
        <f t="shared" si="17"/>
        <v>2012</v>
      </c>
      <c r="K92" s="5">
        <v>41042</v>
      </c>
      <c r="L92">
        <v>37311</v>
      </c>
      <c r="N92" s="7" t="str">
        <f t="shared" si="18"/>
        <v/>
      </c>
      <c r="O92" s="6" t="str">
        <f t="shared" si="19"/>
        <v/>
      </c>
    </row>
    <row r="93" spans="4:15" x14ac:dyDescent="0.25">
      <c r="D93" s="28">
        <f t="shared" si="13"/>
        <v>21</v>
      </c>
      <c r="E93" s="27" t="str">
        <f t="shared" si="14"/>
        <v>Sun</v>
      </c>
      <c r="F93" s="27">
        <f t="shared" si="15"/>
        <v>41049</v>
      </c>
      <c r="G93" s="27">
        <f t="shared" si="16"/>
        <v>20</v>
      </c>
      <c r="H93" s="27">
        <f t="shared" si="17"/>
        <v>2012</v>
      </c>
      <c r="K93" s="5">
        <v>41049</v>
      </c>
      <c r="L93">
        <v>35066</v>
      </c>
      <c r="N93" s="7" t="str">
        <f t="shared" si="18"/>
        <v/>
      </c>
      <c r="O93" s="6" t="str">
        <f t="shared" si="19"/>
        <v/>
      </c>
    </row>
    <row r="94" spans="4:15" x14ac:dyDescent="0.25">
      <c r="D94" s="28">
        <f t="shared" si="13"/>
        <v>22</v>
      </c>
      <c r="E94" s="27" t="str">
        <f t="shared" si="14"/>
        <v>Sun</v>
      </c>
      <c r="F94" s="27">
        <f t="shared" si="15"/>
        <v>41056</v>
      </c>
      <c r="G94" s="27">
        <f t="shared" si="16"/>
        <v>27</v>
      </c>
      <c r="H94" s="27">
        <f t="shared" si="17"/>
        <v>2012</v>
      </c>
      <c r="K94" s="5">
        <v>41056</v>
      </c>
      <c r="L94">
        <v>38684</v>
      </c>
      <c r="N94" s="7" t="str">
        <f t="shared" si="18"/>
        <v/>
      </c>
      <c r="O94" s="6" t="str">
        <f t="shared" si="19"/>
        <v/>
      </c>
    </row>
    <row r="95" spans="4:15" x14ac:dyDescent="0.25">
      <c r="D95" s="28">
        <f t="shared" si="13"/>
        <v>23</v>
      </c>
      <c r="E95" s="27" t="str">
        <f t="shared" si="14"/>
        <v>Sun</v>
      </c>
      <c r="F95" s="27">
        <f t="shared" si="15"/>
        <v>41063</v>
      </c>
      <c r="G95" s="27">
        <f t="shared" si="16"/>
        <v>3</v>
      </c>
      <c r="H95" s="27">
        <f t="shared" si="17"/>
        <v>2012</v>
      </c>
      <c r="K95" s="5">
        <v>41063</v>
      </c>
      <c r="L95">
        <v>38989</v>
      </c>
      <c r="N95" s="7" t="str">
        <f t="shared" si="18"/>
        <v/>
      </c>
      <c r="O95" s="6" t="str">
        <f t="shared" si="19"/>
        <v/>
      </c>
    </row>
    <row r="96" spans="4:15" x14ac:dyDescent="0.25">
      <c r="D96" s="28">
        <f t="shared" si="13"/>
        <v>24</v>
      </c>
      <c r="E96" s="27" t="str">
        <f t="shared" si="14"/>
        <v>Sun</v>
      </c>
      <c r="F96" s="27">
        <f t="shared" si="15"/>
        <v>41070</v>
      </c>
      <c r="G96" s="27">
        <f t="shared" si="16"/>
        <v>10</v>
      </c>
      <c r="H96" s="27">
        <f t="shared" si="17"/>
        <v>2012</v>
      </c>
      <c r="K96" s="5">
        <v>41070</v>
      </c>
      <c r="L96">
        <v>36319</v>
      </c>
      <c r="N96" s="7" t="str">
        <f t="shared" si="18"/>
        <v/>
      </c>
      <c r="O96" s="6" t="str">
        <f t="shared" si="19"/>
        <v/>
      </c>
    </row>
    <row r="97" spans="4:15" x14ac:dyDescent="0.25">
      <c r="D97" s="28">
        <f t="shared" si="13"/>
        <v>25</v>
      </c>
      <c r="E97" s="27" t="str">
        <f t="shared" si="14"/>
        <v>Sun</v>
      </c>
      <c r="F97" s="27">
        <f t="shared" si="15"/>
        <v>41077</v>
      </c>
      <c r="G97" s="27">
        <f t="shared" si="16"/>
        <v>17</v>
      </c>
      <c r="H97" s="27">
        <f t="shared" si="17"/>
        <v>2012</v>
      </c>
      <c r="K97" s="5">
        <v>41077</v>
      </c>
      <c r="L97">
        <v>38032</v>
      </c>
      <c r="N97" s="7" t="str">
        <f t="shared" si="18"/>
        <v/>
      </c>
      <c r="O97" s="6" t="str">
        <f t="shared" si="19"/>
        <v/>
      </c>
    </row>
    <row r="98" spans="4:15" x14ac:dyDescent="0.25">
      <c r="D98" s="28">
        <f t="shared" si="13"/>
        <v>26</v>
      </c>
      <c r="E98" s="27" t="str">
        <f t="shared" si="14"/>
        <v>Sun</v>
      </c>
      <c r="F98" s="27">
        <f t="shared" si="15"/>
        <v>41084</v>
      </c>
      <c r="G98" s="27">
        <f t="shared" si="16"/>
        <v>24</v>
      </c>
      <c r="H98" s="27">
        <f t="shared" si="17"/>
        <v>2012</v>
      </c>
      <c r="K98" s="5">
        <v>41084</v>
      </c>
      <c r="L98">
        <v>50552</v>
      </c>
      <c r="N98" s="7" t="str">
        <f t="shared" si="18"/>
        <v/>
      </c>
      <c r="O98" s="6" t="str">
        <f t="shared" si="19"/>
        <v/>
      </c>
    </row>
    <row r="99" spans="4:15" x14ac:dyDescent="0.25">
      <c r="D99" s="28">
        <f t="shared" si="13"/>
        <v>27</v>
      </c>
      <c r="E99" s="27" t="str">
        <f t="shared" si="14"/>
        <v>Sun</v>
      </c>
      <c r="F99" s="27">
        <f t="shared" si="15"/>
        <v>41091</v>
      </c>
      <c r="G99" s="27">
        <f t="shared" si="16"/>
        <v>1</v>
      </c>
      <c r="H99" s="27">
        <f t="shared" si="17"/>
        <v>2012</v>
      </c>
      <c r="K99" s="5">
        <v>41091</v>
      </c>
      <c r="L99">
        <v>43102</v>
      </c>
      <c r="N99" s="7" t="str">
        <f t="shared" si="18"/>
        <v/>
      </c>
      <c r="O99" s="6" t="str">
        <f t="shared" si="19"/>
        <v/>
      </c>
    </row>
    <row r="100" spans="4:15" x14ac:dyDescent="0.25">
      <c r="D100" s="28">
        <f t="shared" si="13"/>
        <v>28</v>
      </c>
      <c r="E100" s="27" t="str">
        <f t="shared" si="14"/>
        <v>Sun</v>
      </c>
      <c r="F100" s="27">
        <f t="shared" si="15"/>
        <v>41098</v>
      </c>
      <c r="G100" s="27">
        <f t="shared" si="16"/>
        <v>8</v>
      </c>
      <c r="H100" s="27">
        <f t="shared" si="17"/>
        <v>2012</v>
      </c>
      <c r="K100" s="5">
        <v>41098</v>
      </c>
      <c r="L100">
        <v>36049</v>
      </c>
      <c r="N100" s="7" t="str">
        <f t="shared" si="18"/>
        <v/>
      </c>
      <c r="O100" s="6" t="str">
        <f t="shared" si="19"/>
        <v/>
      </c>
    </row>
    <row r="101" spans="4:15" x14ac:dyDescent="0.25">
      <c r="D101" s="28">
        <f t="shared" si="13"/>
        <v>29</v>
      </c>
      <c r="E101" s="27" t="str">
        <f t="shared" si="14"/>
        <v>Sun</v>
      </c>
      <c r="F101" s="27">
        <f t="shared" si="15"/>
        <v>41105</v>
      </c>
      <c r="G101" s="27">
        <f t="shared" si="16"/>
        <v>15</v>
      </c>
      <c r="H101" s="27">
        <f t="shared" si="17"/>
        <v>2012</v>
      </c>
      <c r="K101" s="5">
        <v>41105</v>
      </c>
      <c r="L101">
        <v>37823</v>
      </c>
      <c r="N101" s="7" t="str">
        <f t="shared" si="18"/>
        <v/>
      </c>
      <c r="O101" s="6" t="str">
        <f t="shared" si="19"/>
        <v/>
      </c>
    </row>
    <row r="102" spans="4:15" x14ac:dyDescent="0.25">
      <c r="D102" s="28">
        <f t="shared" si="13"/>
        <v>30</v>
      </c>
      <c r="E102" s="27" t="str">
        <f t="shared" si="14"/>
        <v>Sun</v>
      </c>
      <c r="F102" s="27">
        <f t="shared" si="15"/>
        <v>41112</v>
      </c>
      <c r="G102" s="27">
        <f t="shared" si="16"/>
        <v>22</v>
      </c>
      <c r="H102" s="27">
        <f t="shared" si="17"/>
        <v>2012</v>
      </c>
      <c r="K102" s="5">
        <v>41112</v>
      </c>
      <c r="L102">
        <v>37815</v>
      </c>
      <c r="N102" s="7" t="str">
        <f t="shared" si="18"/>
        <v/>
      </c>
      <c r="O102" s="6" t="str">
        <f t="shared" si="19"/>
        <v/>
      </c>
    </row>
    <row r="103" spans="4:15" x14ac:dyDescent="0.25">
      <c r="D103" s="28">
        <f t="shared" si="13"/>
        <v>31</v>
      </c>
      <c r="E103" s="27" t="str">
        <f t="shared" si="14"/>
        <v>Sun</v>
      </c>
      <c r="F103" s="27">
        <f t="shared" si="15"/>
        <v>41119</v>
      </c>
      <c r="G103" s="27">
        <f t="shared" si="16"/>
        <v>29</v>
      </c>
      <c r="H103" s="27">
        <f t="shared" si="17"/>
        <v>2012</v>
      </c>
      <c r="K103" s="5">
        <v>41119</v>
      </c>
      <c r="L103">
        <v>35184</v>
      </c>
      <c r="N103" s="7" t="str">
        <f t="shared" si="18"/>
        <v/>
      </c>
      <c r="O103" s="6" t="str">
        <f t="shared" si="19"/>
        <v/>
      </c>
    </row>
    <row r="104" spans="4:15" x14ac:dyDescent="0.25">
      <c r="D104" s="28">
        <f t="shared" si="13"/>
        <v>32</v>
      </c>
      <c r="E104" s="27" t="str">
        <f t="shared" si="14"/>
        <v>Sun</v>
      </c>
      <c r="F104" s="27">
        <f t="shared" si="15"/>
        <v>41126</v>
      </c>
      <c r="G104" s="27">
        <f t="shared" si="16"/>
        <v>5</v>
      </c>
      <c r="H104" s="27">
        <f t="shared" si="17"/>
        <v>2012</v>
      </c>
      <c r="K104" s="5">
        <v>41126</v>
      </c>
      <c r="L104">
        <v>33858</v>
      </c>
      <c r="N104" s="7" t="str">
        <f t="shared" si="18"/>
        <v/>
      </c>
      <c r="O104" s="6" t="str">
        <f t="shared" si="19"/>
        <v/>
      </c>
    </row>
    <row r="105" spans="4:15" x14ac:dyDescent="0.25">
      <c r="D105" s="28">
        <f t="shared" si="13"/>
        <v>33</v>
      </c>
      <c r="E105" s="27" t="str">
        <f t="shared" si="14"/>
        <v>Sun</v>
      </c>
      <c r="F105" s="27">
        <f t="shared" si="15"/>
        <v>41133</v>
      </c>
      <c r="G105" s="27">
        <f t="shared" si="16"/>
        <v>12</v>
      </c>
      <c r="H105" s="27">
        <f t="shared" si="17"/>
        <v>2012</v>
      </c>
      <c r="K105" s="5">
        <v>41133</v>
      </c>
      <c r="L105">
        <v>37733</v>
      </c>
      <c r="N105" s="7" t="str">
        <f t="shared" si="18"/>
        <v/>
      </c>
      <c r="O105" s="6" t="str">
        <f t="shared" si="19"/>
        <v/>
      </c>
    </row>
    <row r="106" spans="4:15" x14ac:dyDescent="0.25">
      <c r="D106" s="28">
        <f t="shared" si="13"/>
        <v>34</v>
      </c>
      <c r="E106" s="27" t="str">
        <f t="shared" si="14"/>
        <v>Sun</v>
      </c>
      <c r="F106" s="27">
        <f t="shared" si="15"/>
        <v>41140</v>
      </c>
      <c r="G106" s="27">
        <f t="shared" si="16"/>
        <v>19</v>
      </c>
      <c r="H106" s="27">
        <f t="shared" si="17"/>
        <v>2012</v>
      </c>
      <c r="K106" s="5">
        <v>41140</v>
      </c>
      <c r="L106">
        <v>33911</v>
      </c>
      <c r="N106" s="7" t="str">
        <f t="shared" si="18"/>
        <v/>
      </c>
      <c r="O106" s="6" t="str">
        <f t="shared" si="19"/>
        <v/>
      </c>
    </row>
    <row r="107" spans="4:15" x14ac:dyDescent="0.25">
      <c r="D107" s="28">
        <f t="shared" si="13"/>
        <v>35</v>
      </c>
      <c r="E107" s="27" t="str">
        <f t="shared" si="14"/>
        <v>Sun</v>
      </c>
      <c r="F107" s="27">
        <f t="shared" si="15"/>
        <v>41147</v>
      </c>
      <c r="G107" s="27">
        <f t="shared" si="16"/>
        <v>26</v>
      </c>
      <c r="H107" s="27">
        <f t="shared" si="17"/>
        <v>2012</v>
      </c>
      <c r="K107" s="5">
        <v>41147</v>
      </c>
      <c r="L107">
        <v>47532</v>
      </c>
      <c r="N107" s="7" t="str">
        <f t="shared" si="18"/>
        <v/>
      </c>
      <c r="O107" s="6" t="str">
        <f t="shared" si="19"/>
        <v/>
      </c>
    </row>
    <row r="108" spans="4:15" x14ac:dyDescent="0.25">
      <c r="D108" s="28">
        <f t="shared" si="13"/>
        <v>36</v>
      </c>
      <c r="E108" s="27" t="str">
        <f t="shared" si="14"/>
        <v>Sun</v>
      </c>
      <c r="F108" s="27">
        <f t="shared" si="15"/>
        <v>41154</v>
      </c>
      <c r="G108" s="27">
        <f t="shared" si="16"/>
        <v>2</v>
      </c>
      <c r="H108" s="27">
        <f t="shared" si="17"/>
        <v>2012</v>
      </c>
      <c r="K108" s="5">
        <v>41154</v>
      </c>
      <c r="L108">
        <v>37415</v>
      </c>
      <c r="N108" s="7" t="str">
        <f t="shared" si="18"/>
        <v/>
      </c>
      <c r="O108" s="6" t="str">
        <f t="shared" si="19"/>
        <v/>
      </c>
    </row>
    <row r="109" spans="4:15" x14ac:dyDescent="0.25">
      <c r="D109" s="28">
        <f t="shared" si="13"/>
        <v>37</v>
      </c>
      <c r="E109" s="27" t="str">
        <f t="shared" si="14"/>
        <v>Sun</v>
      </c>
      <c r="F109" s="27">
        <f t="shared" ref="F109:F135" si="20">IF(K109&lt;&gt;"",MONTH(K109),"")</f>
        <v>9</v>
      </c>
      <c r="G109" s="27">
        <f t="shared" si="16"/>
        <v>9</v>
      </c>
      <c r="H109" s="27">
        <f t="shared" si="17"/>
        <v>2012</v>
      </c>
      <c r="K109" s="5">
        <v>41161</v>
      </c>
      <c r="L109">
        <v>46947</v>
      </c>
      <c r="N109" s="7" t="str">
        <f t="shared" si="18"/>
        <v/>
      </c>
      <c r="O109" s="6" t="str">
        <f t="shared" si="19"/>
        <v/>
      </c>
    </row>
    <row r="110" spans="4:15" x14ac:dyDescent="0.25">
      <c r="D110" s="28">
        <f t="shared" si="13"/>
        <v>38</v>
      </c>
      <c r="E110" s="27" t="str">
        <f t="shared" si="14"/>
        <v>Sun</v>
      </c>
      <c r="F110" s="27">
        <f t="shared" si="20"/>
        <v>9</v>
      </c>
      <c r="G110" s="27">
        <f t="shared" si="16"/>
        <v>16</v>
      </c>
      <c r="H110" s="27">
        <f t="shared" si="17"/>
        <v>2012</v>
      </c>
      <c r="K110" s="5">
        <v>41168</v>
      </c>
      <c r="L110">
        <v>41842</v>
      </c>
      <c r="N110" s="7" t="str">
        <f t="shared" si="18"/>
        <v/>
      </c>
      <c r="O110" s="6" t="str">
        <f t="shared" si="19"/>
        <v/>
      </c>
    </row>
    <row r="111" spans="4:15" x14ac:dyDescent="0.25">
      <c r="D111" s="28">
        <f t="shared" si="13"/>
        <v>39</v>
      </c>
      <c r="E111" s="27" t="str">
        <f t="shared" si="14"/>
        <v>Sun</v>
      </c>
      <c r="F111" s="27">
        <f t="shared" si="20"/>
        <v>9</v>
      </c>
      <c r="G111" s="27">
        <f t="shared" si="16"/>
        <v>23</v>
      </c>
      <c r="H111" s="27">
        <f t="shared" si="17"/>
        <v>2012</v>
      </c>
      <c r="K111" s="5">
        <v>41175</v>
      </c>
      <c r="L111">
        <v>38492</v>
      </c>
      <c r="N111" s="7" t="str">
        <f t="shared" si="18"/>
        <v/>
      </c>
      <c r="O111" s="6" t="str">
        <f t="shared" si="19"/>
        <v/>
      </c>
    </row>
    <row r="112" spans="4:15" x14ac:dyDescent="0.25">
      <c r="D112" s="28">
        <f t="shared" si="13"/>
        <v>40</v>
      </c>
      <c r="E112" s="27" t="str">
        <f t="shared" si="14"/>
        <v>Sun</v>
      </c>
      <c r="F112" s="27">
        <f t="shared" si="20"/>
        <v>9</v>
      </c>
      <c r="G112" s="27">
        <f t="shared" si="16"/>
        <v>30</v>
      </c>
      <c r="H112" s="27">
        <f t="shared" si="17"/>
        <v>2012</v>
      </c>
      <c r="K112" s="5">
        <v>41182</v>
      </c>
      <c r="L112">
        <v>4439</v>
      </c>
      <c r="N112" s="7" t="str">
        <f t="shared" si="18"/>
        <v/>
      </c>
      <c r="O112" s="6" t="str">
        <f t="shared" si="19"/>
        <v/>
      </c>
    </row>
    <row r="113" spans="4:15" x14ac:dyDescent="0.25">
      <c r="D113" s="28" t="str">
        <f t="shared" si="13"/>
        <v/>
      </c>
      <c r="E113" s="27" t="str">
        <f t="shared" si="14"/>
        <v/>
      </c>
      <c r="F113" s="27" t="str">
        <f t="shared" si="20"/>
        <v/>
      </c>
      <c r="G113" s="27" t="str">
        <f t="shared" si="16"/>
        <v/>
      </c>
      <c r="H113" s="27" t="str">
        <f t="shared" si="17"/>
        <v/>
      </c>
      <c r="K113" s="5"/>
      <c r="N113" s="7" t="str">
        <f t="shared" si="18"/>
        <v/>
      </c>
      <c r="O113" s="6" t="str">
        <f t="shared" si="19"/>
        <v/>
      </c>
    </row>
    <row r="114" spans="4:15" x14ac:dyDescent="0.25">
      <c r="D114" s="28" t="str">
        <f t="shared" si="13"/>
        <v/>
      </c>
      <c r="E114" s="27" t="str">
        <f t="shared" si="14"/>
        <v/>
      </c>
      <c r="F114" s="27" t="str">
        <f t="shared" si="20"/>
        <v/>
      </c>
      <c r="G114" s="27" t="str">
        <f t="shared" si="16"/>
        <v/>
      </c>
      <c r="H114" s="27" t="str">
        <f t="shared" si="17"/>
        <v/>
      </c>
      <c r="K114" s="5"/>
      <c r="N114" s="7" t="str">
        <f t="shared" si="18"/>
        <v/>
      </c>
      <c r="O114" s="6" t="str">
        <f t="shared" si="19"/>
        <v/>
      </c>
    </row>
    <row r="115" spans="4:15" x14ac:dyDescent="0.25">
      <c r="D115" s="28" t="str">
        <f t="shared" si="13"/>
        <v/>
      </c>
      <c r="E115" s="27" t="str">
        <f t="shared" si="14"/>
        <v/>
      </c>
      <c r="F115" s="27" t="str">
        <f t="shared" si="20"/>
        <v/>
      </c>
      <c r="G115" s="27" t="str">
        <f t="shared" si="16"/>
        <v/>
      </c>
      <c r="H115" s="27" t="str">
        <f t="shared" si="17"/>
        <v/>
      </c>
      <c r="N115" s="7" t="str">
        <f t="shared" si="18"/>
        <v/>
      </c>
      <c r="O115" s="6" t="str">
        <f t="shared" si="19"/>
        <v/>
      </c>
    </row>
    <row r="116" spans="4:15" x14ac:dyDescent="0.25">
      <c r="D116" s="28" t="str">
        <f t="shared" si="13"/>
        <v/>
      </c>
      <c r="E116" s="27" t="str">
        <f t="shared" si="14"/>
        <v/>
      </c>
      <c r="F116" s="27" t="str">
        <f t="shared" si="20"/>
        <v/>
      </c>
      <c r="G116" s="27" t="str">
        <f t="shared" si="16"/>
        <v/>
      </c>
      <c r="H116" s="27" t="str">
        <f t="shared" si="17"/>
        <v/>
      </c>
      <c r="N116" s="7" t="str">
        <f t="shared" si="18"/>
        <v/>
      </c>
      <c r="O116" s="6" t="str">
        <f t="shared" si="19"/>
        <v/>
      </c>
    </row>
    <row r="117" spans="4:15" x14ac:dyDescent="0.25">
      <c r="D117" s="28" t="str">
        <f t="shared" si="13"/>
        <v/>
      </c>
      <c r="E117" s="27" t="str">
        <f t="shared" si="14"/>
        <v/>
      </c>
      <c r="F117" s="27" t="str">
        <f t="shared" si="20"/>
        <v/>
      </c>
      <c r="G117" s="27" t="str">
        <f t="shared" si="16"/>
        <v/>
      </c>
      <c r="H117" s="27" t="str">
        <f t="shared" si="17"/>
        <v/>
      </c>
      <c r="N117" s="7" t="str">
        <f t="shared" si="18"/>
        <v/>
      </c>
      <c r="O117" s="6" t="str">
        <f t="shared" si="19"/>
        <v/>
      </c>
    </row>
    <row r="118" spans="4:15" x14ac:dyDescent="0.25">
      <c r="D118" s="28" t="str">
        <f t="shared" si="13"/>
        <v/>
      </c>
      <c r="E118" s="27" t="str">
        <f t="shared" si="14"/>
        <v/>
      </c>
      <c r="F118" s="27" t="str">
        <f t="shared" si="20"/>
        <v/>
      </c>
      <c r="G118" s="27" t="str">
        <f t="shared" si="16"/>
        <v/>
      </c>
      <c r="H118" s="27" t="str">
        <f t="shared" si="17"/>
        <v/>
      </c>
      <c r="N118" s="7" t="str">
        <f t="shared" si="18"/>
        <v/>
      </c>
      <c r="O118" s="6" t="str">
        <f t="shared" si="19"/>
        <v/>
      </c>
    </row>
    <row r="119" spans="4:15" x14ac:dyDescent="0.25">
      <c r="D119" s="28" t="str">
        <f t="shared" si="13"/>
        <v/>
      </c>
      <c r="E119" s="27" t="str">
        <f t="shared" si="14"/>
        <v/>
      </c>
      <c r="F119" s="27" t="str">
        <f t="shared" si="20"/>
        <v/>
      </c>
      <c r="G119" s="27" t="str">
        <f t="shared" si="16"/>
        <v/>
      </c>
      <c r="H119" s="27" t="str">
        <f t="shared" si="17"/>
        <v/>
      </c>
      <c r="N119" s="7" t="str">
        <f t="shared" si="18"/>
        <v/>
      </c>
      <c r="O119" s="6" t="str">
        <f t="shared" si="19"/>
        <v/>
      </c>
    </row>
    <row r="120" spans="4:15" x14ac:dyDescent="0.25">
      <c r="D120" s="28" t="str">
        <f t="shared" si="13"/>
        <v/>
      </c>
      <c r="E120" s="27" t="str">
        <f t="shared" si="14"/>
        <v/>
      </c>
      <c r="F120" s="27" t="str">
        <f t="shared" si="20"/>
        <v/>
      </c>
      <c r="G120" s="27" t="str">
        <f t="shared" si="16"/>
        <v/>
      </c>
      <c r="H120" s="27" t="str">
        <f t="shared" si="17"/>
        <v/>
      </c>
      <c r="N120" s="7" t="str">
        <f t="shared" si="18"/>
        <v/>
      </c>
      <c r="O120" s="6" t="str">
        <f t="shared" si="19"/>
        <v/>
      </c>
    </row>
    <row r="121" spans="4:15" x14ac:dyDescent="0.25">
      <c r="D121" s="28" t="str">
        <f t="shared" si="13"/>
        <v/>
      </c>
      <c r="E121" s="27" t="str">
        <f t="shared" si="14"/>
        <v/>
      </c>
      <c r="F121" s="27" t="str">
        <f t="shared" si="20"/>
        <v/>
      </c>
      <c r="G121" s="27" t="str">
        <f t="shared" si="16"/>
        <v/>
      </c>
      <c r="H121" s="27" t="str">
        <f t="shared" si="17"/>
        <v/>
      </c>
      <c r="N121" s="7" t="str">
        <f t="shared" si="18"/>
        <v/>
      </c>
      <c r="O121" s="6" t="str">
        <f t="shared" si="19"/>
        <v/>
      </c>
    </row>
    <row r="122" spans="4:15" x14ac:dyDescent="0.25">
      <c r="D122" s="28" t="str">
        <f t="shared" si="13"/>
        <v/>
      </c>
      <c r="E122" s="27" t="str">
        <f t="shared" si="14"/>
        <v/>
      </c>
      <c r="F122" s="27" t="str">
        <f t="shared" si="20"/>
        <v/>
      </c>
      <c r="G122" s="27" t="str">
        <f t="shared" si="16"/>
        <v/>
      </c>
      <c r="H122" s="27" t="str">
        <f t="shared" si="17"/>
        <v/>
      </c>
      <c r="N122" s="7" t="str">
        <f t="shared" si="18"/>
        <v/>
      </c>
      <c r="O122" s="6" t="str">
        <f t="shared" si="19"/>
        <v/>
      </c>
    </row>
    <row r="123" spans="4:15" x14ac:dyDescent="0.25">
      <c r="D123" s="28" t="str">
        <f t="shared" si="13"/>
        <v/>
      </c>
      <c r="E123" s="27" t="str">
        <f t="shared" si="14"/>
        <v/>
      </c>
      <c r="F123" s="27" t="str">
        <f t="shared" si="20"/>
        <v/>
      </c>
      <c r="G123" s="27" t="str">
        <f t="shared" si="16"/>
        <v/>
      </c>
      <c r="H123" s="27" t="str">
        <f t="shared" si="17"/>
        <v/>
      </c>
      <c r="N123" s="7" t="str">
        <f t="shared" si="18"/>
        <v/>
      </c>
      <c r="O123" s="6" t="str">
        <f t="shared" si="19"/>
        <v/>
      </c>
    </row>
    <row r="124" spans="4:15" x14ac:dyDescent="0.25">
      <c r="D124" s="28" t="str">
        <f t="shared" si="13"/>
        <v/>
      </c>
      <c r="E124" s="27" t="str">
        <f t="shared" si="14"/>
        <v/>
      </c>
      <c r="F124" s="27" t="str">
        <f t="shared" si="20"/>
        <v/>
      </c>
      <c r="G124" s="27" t="str">
        <f t="shared" si="16"/>
        <v/>
      </c>
      <c r="H124" s="27" t="str">
        <f t="shared" si="17"/>
        <v/>
      </c>
      <c r="N124" s="7" t="str">
        <f t="shared" si="18"/>
        <v/>
      </c>
      <c r="O124" s="6" t="str">
        <f t="shared" si="19"/>
        <v/>
      </c>
    </row>
    <row r="125" spans="4:15" x14ac:dyDescent="0.25">
      <c r="D125" s="28" t="str">
        <f t="shared" si="13"/>
        <v/>
      </c>
      <c r="E125" s="27" t="str">
        <f t="shared" si="14"/>
        <v/>
      </c>
      <c r="F125" s="27" t="str">
        <f t="shared" si="20"/>
        <v/>
      </c>
      <c r="G125" s="27" t="str">
        <f t="shared" si="16"/>
        <v/>
      </c>
      <c r="H125" s="27" t="str">
        <f t="shared" si="17"/>
        <v/>
      </c>
      <c r="N125" s="7" t="str">
        <f t="shared" si="18"/>
        <v/>
      </c>
      <c r="O125" s="6" t="str">
        <f t="shared" si="19"/>
        <v/>
      </c>
    </row>
    <row r="126" spans="4:15" x14ac:dyDescent="0.25">
      <c r="D126" s="28" t="str">
        <f t="shared" si="13"/>
        <v/>
      </c>
      <c r="E126" s="27" t="str">
        <f t="shared" si="14"/>
        <v/>
      </c>
      <c r="F126" s="27" t="str">
        <f t="shared" si="20"/>
        <v/>
      </c>
      <c r="G126" s="27" t="str">
        <f t="shared" si="16"/>
        <v/>
      </c>
      <c r="H126" s="27" t="str">
        <f t="shared" si="17"/>
        <v/>
      </c>
      <c r="N126" s="7" t="str">
        <f t="shared" si="18"/>
        <v/>
      </c>
      <c r="O126" s="6" t="str">
        <f t="shared" si="19"/>
        <v/>
      </c>
    </row>
    <row r="127" spans="4:15" x14ac:dyDescent="0.25">
      <c r="D127" s="28" t="str">
        <f t="shared" si="13"/>
        <v/>
      </c>
      <c r="E127" s="27" t="str">
        <f t="shared" si="14"/>
        <v/>
      </c>
      <c r="F127" s="27" t="str">
        <f t="shared" si="20"/>
        <v/>
      </c>
      <c r="G127" s="27" t="str">
        <f t="shared" si="16"/>
        <v/>
      </c>
      <c r="H127" s="27" t="str">
        <f t="shared" si="17"/>
        <v/>
      </c>
      <c r="N127" s="7" t="str">
        <f t="shared" si="18"/>
        <v/>
      </c>
      <c r="O127" s="6" t="str">
        <f t="shared" si="19"/>
        <v/>
      </c>
    </row>
    <row r="128" spans="4:15" x14ac:dyDescent="0.25">
      <c r="D128" s="28" t="str">
        <f t="shared" si="13"/>
        <v/>
      </c>
      <c r="E128" s="27" t="str">
        <f t="shared" si="14"/>
        <v/>
      </c>
      <c r="F128" s="27" t="str">
        <f t="shared" si="20"/>
        <v/>
      </c>
      <c r="G128" s="27" t="str">
        <f t="shared" si="16"/>
        <v/>
      </c>
      <c r="H128" s="27" t="str">
        <f t="shared" si="17"/>
        <v/>
      </c>
      <c r="N128" s="7" t="str">
        <f t="shared" si="18"/>
        <v/>
      </c>
      <c r="O128" s="6" t="str">
        <f t="shared" si="19"/>
        <v/>
      </c>
    </row>
    <row r="129" spans="4:15" x14ac:dyDescent="0.25">
      <c r="D129" s="28" t="str">
        <f t="shared" si="13"/>
        <v/>
      </c>
      <c r="E129" s="27" t="str">
        <f t="shared" si="14"/>
        <v/>
      </c>
      <c r="F129" s="27" t="str">
        <f t="shared" si="20"/>
        <v/>
      </c>
      <c r="G129" s="27" t="str">
        <f t="shared" si="16"/>
        <v/>
      </c>
      <c r="H129" s="27" t="str">
        <f t="shared" si="17"/>
        <v/>
      </c>
      <c r="N129" s="7" t="str">
        <f t="shared" si="18"/>
        <v/>
      </c>
      <c r="O129" s="6" t="str">
        <f t="shared" si="19"/>
        <v/>
      </c>
    </row>
    <row r="130" spans="4:15" x14ac:dyDescent="0.25">
      <c r="D130" s="28" t="str">
        <f t="shared" si="13"/>
        <v/>
      </c>
      <c r="E130" s="27" t="str">
        <f t="shared" si="14"/>
        <v/>
      </c>
      <c r="F130" s="27" t="str">
        <f t="shared" si="20"/>
        <v/>
      </c>
      <c r="G130" s="27" t="str">
        <f t="shared" si="16"/>
        <v/>
      </c>
      <c r="H130" s="27" t="str">
        <f t="shared" si="17"/>
        <v/>
      </c>
      <c r="N130" s="7" t="str">
        <f t="shared" si="18"/>
        <v/>
      </c>
      <c r="O130" s="6" t="str">
        <f t="shared" si="19"/>
        <v/>
      </c>
    </row>
    <row r="131" spans="4:15" x14ac:dyDescent="0.25">
      <c r="D131" s="28" t="str">
        <f t="shared" si="13"/>
        <v/>
      </c>
      <c r="E131" s="27" t="str">
        <f t="shared" si="14"/>
        <v/>
      </c>
      <c r="F131" s="27" t="str">
        <f t="shared" si="20"/>
        <v/>
      </c>
      <c r="G131" s="27" t="str">
        <f t="shared" si="16"/>
        <v/>
      </c>
      <c r="H131" s="27" t="str">
        <f t="shared" si="17"/>
        <v/>
      </c>
      <c r="N131" s="7" t="str">
        <f t="shared" si="18"/>
        <v/>
      </c>
      <c r="O131" s="6" t="str">
        <f t="shared" si="19"/>
        <v/>
      </c>
    </row>
    <row r="132" spans="4:15" x14ac:dyDescent="0.25">
      <c r="D132" s="28" t="str">
        <f t="shared" si="13"/>
        <v/>
      </c>
      <c r="E132" s="27" t="str">
        <f t="shared" si="14"/>
        <v/>
      </c>
      <c r="F132" s="27" t="str">
        <f t="shared" si="20"/>
        <v/>
      </c>
      <c r="G132" s="27" t="str">
        <f t="shared" si="16"/>
        <v/>
      </c>
      <c r="H132" s="27" t="str">
        <f t="shared" si="17"/>
        <v/>
      </c>
      <c r="N132" s="7" t="str">
        <f t="shared" si="18"/>
        <v/>
      </c>
      <c r="O132" s="6" t="str">
        <f t="shared" si="19"/>
        <v/>
      </c>
    </row>
    <row r="133" spans="4:15" x14ac:dyDescent="0.25">
      <c r="D133" s="28" t="str">
        <f t="shared" si="13"/>
        <v/>
      </c>
      <c r="E133" s="27" t="str">
        <f t="shared" si="14"/>
        <v/>
      </c>
      <c r="F133" s="27" t="str">
        <f t="shared" si="20"/>
        <v/>
      </c>
      <c r="G133" s="27" t="str">
        <f t="shared" si="16"/>
        <v/>
      </c>
      <c r="H133" s="27" t="str">
        <f t="shared" si="17"/>
        <v/>
      </c>
      <c r="N133" s="7" t="str">
        <f t="shared" si="18"/>
        <v/>
      </c>
      <c r="O133" s="6" t="str">
        <f t="shared" si="19"/>
        <v/>
      </c>
    </row>
    <row r="134" spans="4:15" x14ac:dyDescent="0.25">
      <c r="D134" s="28" t="str">
        <f t="shared" si="13"/>
        <v/>
      </c>
      <c r="E134" s="27" t="str">
        <f t="shared" si="14"/>
        <v/>
      </c>
      <c r="F134" s="27" t="str">
        <f t="shared" si="20"/>
        <v/>
      </c>
      <c r="G134" s="27" t="str">
        <f t="shared" si="16"/>
        <v/>
      </c>
      <c r="H134" s="27" t="str">
        <f t="shared" si="17"/>
        <v/>
      </c>
      <c r="N134" s="7" t="str">
        <f t="shared" si="18"/>
        <v/>
      </c>
      <c r="O134" s="6" t="str">
        <f t="shared" si="19"/>
        <v/>
      </c>
    </row>
    <row r="135" spans="4:15" x14ac:dyDescent="0.25">
      <c r="D135" s="28" t="str">
        <f t="shared" si="13"/>
        <v/>
      </c>
      <c r="E135" s="27" t="str">
        <f t="shared" si="14"/>
        <v/>
      </c>
      <c r="F135" s="27" t="str">
        <f t="shared" si="20"/>
        <v/>
      </c>
      <c r="G135" s="27" t="str">
        <f t="shared" si="16"/>
        <v/>
      </c>
      <c r="H135" s="27" t="str">
        <f t="shared" si="17"/>
        <v/>
      </c>
      <c r="N135" s="7" t="str">
        <f t="shared" si="18"/>
        <v/>
      </c>
      <c r="O135" s="6" t="str">
        <f t="shared" si="19"/>
        <v/>
      </c>
    </row>
    <row r="136" spans="4:15" x14ac:dyDescent="0.25">
      <c r="D136" s="28" t="str">
        <f t="shared" ref="D136:D199" si="21">IF(K136&lt;&gt;"",1+INT((K136-(DATE(YEAR(K136),1,2)-WEEKDAY(DATE(YEAR(K136),1,1))))/7),"")</f>
        <v/>
      </c>
      <c r="E136" s="27" t="str">
        <f t="shared" ref="E136:E199" si="22">IF(K136&lt;&gt;"",TEXT(K136,"ddd"),"")</f>
        <v/>
      </c>
      <c r="F136" s="27" t="str">
        <f t="shared" ref="F136:F199" si="23">IF(K136&lt;&gt;"",MONTH(K136),"")</f>
        <v/>
      </c>
      <c r="G136" s="27" t="str">
        <f t="shared" ref="G136:G199" si="24">IF(K136&lt;&gt;"",DAY(K136),"")</f>
        <v/>
      </c>
      <c r="H136" s="27" t="str">
        <f t="shared" ref="H136:H199" si="25">IF(K136&lt;&gt;"",YEAR(K136),"")</f>
        <v/>
      </c>
      <c r="N136" s="7" t="str">
        <f t="shared" ref="N136:N199" si="26">IF(W136&lt;&gt;"",1+INT((W136-(DATE(YEAR(W136),1,2)-WEEKDAY(DATE(YEAR(W136),1,1))))/7),"")</f>
        <v/>
      </c>
      <c r="O136" s="6" t="str">
        <f t="shared" ref="O136:O199" si="27">IF(W136&lt;&gt;"",TEXT(W136,"ddd"),"")</f>
        <v/>
      </c>
    </row>
    <row r="137" spans="4:15" x14ac:dyDescent="0.25">
      <c r="D137" s="28" t="str">
        <f t="shared" si="21"/>
        <v/>
      </c>
      <c r="E137" s="27" t="str">
        <f t="shared" si="22"/>
        <v/>
      </c>
      <c r="F137" s="27" t="str">
        <f t="shared" si="23"/>
        <v/>
      </c>
      <c r="G137" s="27" t="str">
        <f t="shared" si="24"/>
        <v/>
      </c>
      <c r="H137" s="27" t="str">
        <f t="shared" si="25"/>
        <v/>
      </c>
      <c r="N137" s="7" t="str">
        <f t="shared" si="26"/>
        <v/>
      </c>
      <c r="O137" s="6" t="str">
        <f t="shared" si="27"/>
        <v/>
      </c>
    </row>
    <row r="138" spans="4:15" x14ac:dyDescent="0.25">
      <c r="D138" s="28" t="str">
        <f t="shared" si="21"/>
        <v/>
      </c>
      <c r="E138" s="27" t="str">
        <f t="shared" si="22"/>
        <v/>
      </c>
      <c r="F138" s="27" t="str">
        <f t="shared" si="23"/>
        <v/>
      </c>
      <c r="G138" s="27" t="str">
        <f t="shared" si="24"/>
        <v/>
      </c>
      <c r="H138" s="27" t="str">
        <f t="shared" si="25"/>
        <v/>
      </c>
      <c r="N138" s="7" t="str">
        <f t="shared" si="26"/>
        <v/>
      </c>
      <c r="O138" s="6" t="str">
        <f t="shared" si="27"/>
        <v/>
      </c>
    </row>
    <row r="139" spans="4:15" x14ac:dyDescent="0.25">
      <c r="D139" s="28" t="str">
        <f t="shared" si="21"/>
        <v/>
      </c>
      <c r="E139" s="27" t="str">
        <f t="shared" si="22"/>
        <v/>
      </c>
      <c r="F139" s="27" t="str">
        <f t="shared" si="23"/>
        <v/>
      </c>
      <c r="G139" s="27" t="str">
        <f t="shared" si="24"/>
        <v/>
      </c>
      <c r="H139" s="27" t="str">
        <f t="shared" si="25"/>
        <v/>
      </c>
      <c r="N139" s="7" t="str">
        <f t="shared" si="26"/>
        <v/>
      </c>
      <c r="O139" s="6" t="str">
        <f t="shared" si="27"/>
        <v/>
      </c>
    </row>
    <row r="140" spans="4:15" x14ac:dyDescent="0.25">
      <c r="D140" s="28" t="str">
        <f t="shared" si="21"/>
        <v/>
      </c>
      <c r="E140" s="27" t="str">
        <f t="shared" si="22"/>
        <v/>
      </c>
      <c r="F140" s="27" t="str">
        <f t="shared" si="23"/>
        <v/>
      </c>
      <c r="G140" s="27" t="str">
        <f t="shared" si="24"/>
        <v/>
      </c>
      <c r="H140" s="27" t="str">
        <f t="shared" si="25"/>
        <v/>
      </c>
      <c r="N140" s="7" t="str">
        <f t="shared" si="26"/>
        <v/>
      </c>
      <c r="O140" s="6" t="str">
        <f t="shared" si="27"/>
        <v/>
      </c>
    </row>
    <row r="141" spans="4:15" x14ac:dyDescent="0.25">
      <c r="D141" s="28" t="str">
        <f t="shared" si="21"/>
        <v/>
      </c>
      <c r="E141" s="27" t="str">
        <f t="shared" si="22"/>
        <v/>
      </c>
      <c r="F141" s="27" t="str">
        <f t="shared" si="23"/>
        <v/>
      </c>
      <c r="G141" s="27" t="str">
        <f t="shared" si="24"/>
        <v/>
      </c>
      <c r="H141" s="27" t="str">
        <f t="shared" si="25"/>
        <v/>
      </c>
      <c r="N141" s="7" t="str">
        <f t="shared" si="26"/>
        <v/>
      </c>
      <c r="O141" s="6" t="str">
        <f t="shared" si="27"/>
        <v/>
      </c>
    </row>
    <row r="142" spans="4:15" x14ac:dyDescent="0.25">
      <c r="D142" s="28" t="str">
        <f t="shared" si="21"/>
        <v/>
      </c>
      <c r="E142" s="27" t="str">
        <f t="shared" si="22"/>
        <v/>
      </c>
      <c r="F142" s="27" t="str">
        <f t="shared" si="23"/>
        <v/>
      </c>
      <c r="G142" s="27" t="str">
        <f t="shared" si="24"/>
        <v/>
      </c>
      <c r="H142" s="27" t="str">
        <f t="shared" si="25"/>
        <v/>
      </c>
      <c r="N142" s="7" t="str">
        <f t="shared" si="26"/>
        <v/>
      </c>
      <c r="O142" s="6" t="str">
        <f t="shared" si="27"/>
        <v/>
      </c>
    </row>
    <row r="143" spans="4:15" x14ac:dyDescent="0.25">
      <c r="D143" s="28" t="str">
        <f t="shared" si="21"/>
        <v/>
      </c>
      <c r="E143" s="27" t="str">
        <f t="shared" si="22"/>
        <v/>
      </c>
      <c r="F143" s="27" t="str">
        <f t="shared" si="23"/>
        <v/>
      </c>
      <c r="G143" s="27" t="str">
        <f t="shared" si="24"/>
        <v/>
      </c>
      <c r="H143" s="27" t="str">
        <f t="shared" si="25"/>
        <v/>
      </c>
      <c r="N143" s="7" t="str">
        <f t="shared" si="26"/>
        <v/>
      </c>
      <c r="O143" s="6" t="str">
        <f t="shared" si="27"/>
        <v/>
      </c>
    </row>
    <row r="144" spans="4:15" x14ac:dyDescent="0.25">
      <c r="D144" s="28" t="str">
        <f t="shared" si="21"/>
        <v/>
      </c>
      <c r="E144" s="27" t="str">
        <f t="shared" si="22"/>
        <v/>
      </c>
      <c r="F144" s="27" t="str">
        <f t="shared" si="23"/>
        <v/>
      </c>
      <c r="G144" s="27" t="str">
        <f t="shared" si="24"/>
        <v/>
      </c>
      <c r="H144" s="27" t="str">
        <f t="shared" si="25"/>
        <v/>
      </c>
      <c r="N144" s="7" t="str">
        <f t="shared" si="26"/>
        <v/>
      </c>
      <c r="O144" s="6" t="str">
        <f t="shared" si="27"/>
        <v/>
      </c>
    </row>
    <row r="145" spans="4:15" x14ac:dyDescent="0.25">
      <c r="D145" s="28" t="str">
        <f t="shared" si="21"/>
        <v/>
      </c>
      <c r="E145" s="27" t="str">
        <f t="shared" si="22"/>
        <v/>
      </c>
      <c r="F145" s="27" t="str">
        <f t="shared" si="23"/>
        <v/>
      </c>
      <c r="G145" s="27" t="str">
        <f t="shared" si="24"/>
        <v/>
      </c>
      <c r="H145" s="27" t="str">
        <f t="shared" si="25"/>
        <v/>
      </c>
      <c r="N145" s="7" t="str">
        <f t="shared" si="26"/>
        <v/>
      </c>
      <c r="O145" s="6" t="str">
        <f t="shared" si="27"/>
        <v/>
      </c>
    </row>
    <row r="146" spans="4:15" x14ac:dyDescent="0.25">
      <c r="D146" s="28" t="str">
        <f t="shared" si="21"/>
        <v/>
      </c>
      <c r="E146" s="27" t="str">
        <f t="shared" si="22"/>
        <v/>
      </c>
      <c r="F146" s="27" t="str">
        <f t="shared" si="23"/>
        <v/>
      </c>
      <c r="G146" s="27" t="str">
        <f t="shared" si="24"/>
        <v/>
      </c>
      <c r="H146" s="27" t="str">
        <f t="shared" si="25"/>
        <v/>
      </c>
      <c r="N146" s="7" t="str">
        <f t="shared" si="26"/>
        <v/>
      </c>
      <c r="O146" s="6" t="str">
        <f t="shared" si="27"/>
        <v/>
      </c>
    </row>
    <row r="147" spans="4:15" x14ac:dyDescent="0.25">
      <c r="D147" s="28" t="str">
        <f t="shared" si="21"/>
        <v/>
      </c>
      <c r="E147" s="27" t="str">
        <f t="shared" si="22"/>
        <v/>
      </c>
      <c r="F147" s="27" t="str">
        <f t="shared" si="23"/>
        <v/>
      </c>
      <c r="G147" s="27" t="str">
        <f t="shared" si="24"/>
        <v/>
      </c>
      <c r="H147" s="27" t="str">
        <f t="shared" si="25"/>
        <v/>
      </c>
      <c r="N147" s="7" t="str">
        <f t="shared" si="26"/>
        <v/>
      </c>
      <c r="O147" s="6" t="str">
        <f t="shared" si="27"/>
        <v/>
      </c>
    </row>
    <row r="148" spans="4:15" x14ac:dyDescent="0.25">
      <c r="D148" s="28" t="str">
        <f t="shared" si="21"/>
        <v/>
      </c>
      <c r="E148" s="27" t="str">
        <f t="shared" si="22"/>
        <v/>
      </c>
      <c r="F148" s="27" t="str">
        <f t="shared" si="23"/>
        <v/>
      </c>
      <c r="G148" s="27" t="str">
        <f t="shared" si="24"/>
        <v/>
      </c>
      <c r="H148" s="27" t="str">
        <f t="shared" si="25"/>
        <v/>
      </c>
      <c r="N148" s="7" t="str">
        <f t="shared" si="26"/>
        <v/>
      </c>
      <c r="O148" s="6" t="str">
        <f t="shared" si="27"/>
        <v/>
      </c>
    </row>
    <row r="149" spans="4:15" x14ac:dyDescent="0.25">
      <c r="D149" s="28" t="str">
        <f t="shared" si="21"/>
        <v/>
      </c>
      <c r="E149" s="27" t="str">
        <f t="shared" si="22"/>
        <v/>
      </c>
      <c r="F149" s="27" t="str">
        <f t="shared" si="23"/>
        <v/>
      </c>
      <c r="G149" s="27" t="str">
        <f t="shared" si="24"/>
        <v/>
      </c>
      <c r="H149" s="27" t="str">
        <f t="shared" si="25"/>
        <v/>
      </c>
      <c r="N149" s="7" t="str">
        <f t="shared" si="26"/>
        <v/>
      </c>
      <c r="O149" s="6" t="str">
        <f t="shared" si="27"/>
        <v/>
      </c>
    </row>
    <row r="150" spans="4:15" x14ac:dyDescent="0.25">
      <c r="D150" s="28" t="str">
        <f t="shared" si="21"/>
        <v/>
      </c>
      <c r="E150" s="27" t="str">
        <f t="shared" si="22"/>
        <v/>
      </c>
      <c r="F150" s="27" t="str">
        <f t="shared" si="23"/>
        <v/>
      </c>
      <c r="G150" s="27" t="str">
        <f t="shared" si="24"/>
        <v/>
      </c>
      <c r="H150" s="27" t="str">
        <f t="shared" si="25"/>
        <v/>
      </c>
      <c r="N150" s="7" t="str">
        <f t="shared" si="26"/>
        <v/>
      </c>
      <c r="O150" s="6" t="str">
        <f t="shared" si="27"/>
        <v/>
      </c>
    </row>
    <row r="151" spans="4:15" x14ac:dyDescent="0.25">
      <c r="D151" s="28" t="str">
        <f t="shared" si="21"/>
        <v/>
      </c>
      <c r="E151" s="27" t="str">
        <f t="shared" si="22"/>
        <v/>
      </c>
      <c r="F151" s="27" t="str">
        <f t="shared" si="23"/>
        <v/>
      </c>
      <c r="G151" s="27" t="str">
        <f t="shared" si="24"/>
        <v/>
      </c>
      <c r="H151" s="27" t="str">
        <f t="shared" si="25"/>
        <v/>
      </c>
      <c r="N151" s="7" t="str">
        <f t="shared" si="26"/>
        <v/>
      </c>
      <c r="O151" s="6" t="str">
        <f t="shared" si="27"/>
        <v/>
      </c>
    </row>
    <row r="152" spans="4:15" x14ac:dyDescent="0.25">
      <c r="D152" s="28" t="str">
        <f t="shared" si="21"/>
        <v/>
      </c>
      <c r="E152" s="27" t="str">
        <f t="shared" si="22"/>
        <v/>
      </c>
      <c r="F152" s="27" t="str">
        <f t="shared" si="23"/>
        <v/>
      </c>
      <c r="G152" s="27" t="str">
        <f t="shared" si="24"/>
        <v/>
      </c>
      <c r="H152" s="27" t="str">
        <f t="shared" si="25"/>
        <v/>
      </c>
      <c r="N152" s="7" t="str">
        <f t="shared" si="26"/>
        <v/>
      </c>
      <c r="O152" s="6" t="str">
        <f t="shared" si="27"/>
        <v/>
      </c>
    </row>
    <row r="153" spans="4:15" x14ac:dyDescent="0.25">
      <c r="D153" s="28" t="str">
        <f t="shared" si="21"/>
        <v/>
      </c>
      <c r="E153" s="27" t="str">
        <f t="shared" si="22"/>
        <v/>
      </c>
      <c r="F153" s="27" t="str">
        <f t="shared" si="23"/>
        <v/>
      </c>
      <c r="G153" s="27" t="str">
        <f t="shared" si="24"/>
        <v/>
      </c>
      <c r="H153" s="27" t="str">
        <f t="shared" si="25"/>
        <v/>
      </c>
      <c r="N153" s="7" t="str">
        <f t="shared" si="26"/>
        <v/>
      </c>
      <c r="O153" s="6" t="str">
        <f t="shared" si="27"/>
        <v/>
      </c>
    </row>
    <row r="154" spans="4:15" x14ac:dyDescent="0.25">
      <c r="D154" s="28" t="str">
        <f t="shared" si="21"/>
        <v/>
      </c>
      <c r="E154" s="27" t="str">
        <f t="shared" si="22"/>
        <v/>
      </c>
      <c r="F154" s="27" t="str">
        <f t="shared" si="23"/>
        <v/>
      </c>
      <c r="G154" s="27" t="str">
        <f t="shared" si="24"/>
        <v/>
      </c>
      <c r="H154" s="27" t="str">
        <f t="shared" si="25"/>
        <v/>
      </c>
      <c r="N154" s="7" t="str">
        <f t="shared" si="26"/>
        <v/>
      </c>
      <c r="O154" s="6" t="str">
        <f t="shared" si="27"/>
        <v/>
      </c>
    </row>
    <row r="155" spans="4:15" x14ac:dyDescent="0.25">
      <c r="D155" s="28" t="str">
        <f t="shared" si="21"/>
        <v/>
      </c>
      <c r="E155" s="27" t="str">
        <f t="shared" si="22"/>
        <v/>
      </c>
      <c r="F155" s="27" t="str">
        <f t="shared" si="23"/>
        <v/>
      </c>
      <c r="G155" s="27" t="str">
        <f t="shared" si="24"/>
        <v/>
      </c>
      <c r="H155" s="27" t="str">
        <f t="shared" si="25"/>
        <v/>
      </c>
      <c r="N155" s="7" t="str">
        <f t="shared" si="26"/>
        <v/>
      </c>
      <c r="O155" s="6" t="str">
        <f t="shared" si="27"/>
        <v/>
      </c>
    </row>
    <row r="156" spans="4:15" x14ac:dyDescent="0.25">
      <c r="D156" s="28" t="str">
        <f t="shared" si="21"/>
        <v/>
      </c>
      <c r="E156" s="27" t="str">
        <f t="shared" si="22"/>
        <v/>
      </c>
      <c r="F156" s="27" t="str">
        <f t="shared" si="23"/>
        <v/>
      </c>
      <c r="G156" s="27" t="str">
        <f t="shared" si="24"/>
        <v/>
      </c>
      <c r="H156" s="27" t="str">
        <f t="shared" si="25"/>
        <v/>
      </c>
      <c r="N156" s="7" t="str">
        <f t="shared" si="26"/>
        <v/>
      </c>
      <c r="O156" s="6" t="str">
        <f t="shared" si="27"/>
        <v/>
      </c>
    </row>
    <row r="157" spans="4:15" x14ac:dyDescent="0.25">
      <c r="D157" s="28" t="str">
        <f t="shared" si="21"/>
        <v/>
      </c>
      <c r="E157" s="27" t="str">
        <f t="shared" si="22"/>
        <v/>
      </c>
      <c r="F157" s="27" t="str">
        <f t="shared" si="23"/>
        <v/>
      </c>
      <c r="G157" s="27" t="str">
        <f t="shared" si="24"/>
        <v/>
      </c>
      <c r="H157" s="27" t="str">
        <f t="shared" si="25"/>
        <v/>
      </c>
      <c r="N157" s="7" t="str">
        <f t="shared" si="26"/>
        <v/>
      </c>
      <c r="O157" s="6" t="str">
        <f t="shared" si="27"/>
        <v/>
      </c>
    </row>
    <row r="158" spans="4:15" x14ac:dyDescent="0.25">
      <c r="D158" s="28" t="str">
        <f t="shared" si="21"/>
        <v/>
      </c>
      <c r="E158" s="27" t="str">
        <f t="shared" si="22"/>
        <v/>
      </c>
      <c r="F158" s="27" t="str">
        <f t="shared" si="23"/>
        <v/>
      </c>
      <c r="G158" s="27" t="str">
        <f t="shared" si="24"/>
        <v/>
      </c>
      <c r="H158" s="27" t="str">
        <f t="shared" si="25"/>
        <v/>
      </c>
      <c r="N158" s="7" t="str">
        <f t="shared" si="26"/>
        <v/>
      </c>
      <c r="O158" s="6" t="str">
        <f t="shared" si="27"/>
        <v/>
      </c>
    </row>
    <row r="159" spans="4:15" x14ac:dyDescent="0.25">
      <c r="D159" s="28" t="str">
        <f t="shared" si="21"/>
        <v/>
      </c>
      <c r="E159" s="27" t="str">
        <f t="shared" si="22"/>
        <v/>
      </c>
      <c r="F159" s="27" t="str">
        <f t="shared" si="23"/>
        <v/>
      </c>
      <c r="G159" s="27" t="str">
        <f t="shared" si="24"/>
        <v/>
      </c>
      <c r="H159" s="27" t="str">
        <f t="shared" si="25"/>
        <v/>
      </c>
      <c r="N159" s="7" t="str">
        <f t="shared" si="26"/>
        <v/>
      </c>
      <c r="O159" s="6" t="str">
        <f t="shared" si="27"/>
        <v/>
      </c>
    </row>
    <row r="160" spans="4:15" x14ac:dyDescent="0.25">
      <c r="D160" s="28" t="str">
        <f t="shared" si="21"/>
        <v/>
      </c>
      <c r="E160" s="27" t="str">
        <f t="shared" si="22"/>
        <v/>
      </c>
      <c r="F160" s="27" t="str">
        <f t="shared" si="23"/>
        <v/>
      </c>
      <c r="G160" s="27" t="str">
        <f t="shared" si="24"/>
        <v/>
      </c>
      <c r="H160" s="27" t="str">
        <f t="shared" si="25"/>
        <v/>
      </c>
      <c r="N160" s="7" t="str">
        <f t="shared" si="26"/>
        <v/>
      </c>
      <c r="O160" s="6" t="str">
        <f t="shared" si="27"/>
        <v/>
      </c>
    </row>
    <row r="161" spans="4:15" x14ac:dyDescent="0.25">
      <c r="D161" s="28" t="str">
        <f t="shared" si="21"/>
        <v/>
      </c>
      <c r="E161" s="27" t="str">
        <f t="shared" si="22"/>
        <v/>
      </c>
      <c r="F161" s="27" t="str">
        <f t="shared" si="23"/>
        <v/>
      </c>
      <c r="G161" s="27" t="str">
        <f t="shared" si="24"/>
        <v/>
      </c>
      <c r="H161" s="27" t="str">
        <f t="shared" si="25"/>
        <v/>
      </c>
      <c r="N161" s="7" t="str">
        <f t="shared" si="26"/>
        <v/>
      </c>
      <c r="O161" s="6" t="str">
        <f t="shared" si="27"/>
        <v/>
      </c>
    </row>
    <row r="162" spans="4:15" x14ac:dyDescent="0.25">
      <c r="D162" s="28" t="str">
        <f t="shared" si="21"/>
        <v/>
      </c>
      <c r="E162" s="27" t="str">
        <f t="shared" si="22"/>
        <v/>
      </c>
      <c r="F162" s="27" t="str">
        <f t="shared" si="23"/>
        <v/>
      </c>
      <c r="G162" s="27" t="str">
        <f t="shared" si="24"/>
        <v/>
      </c>
      <c r="H162" s="27" t="str">
        <f t="shared" si="25"/>
        <v/>
      </c>
      <c r="N162" s="7" t="str">
        <f t="shared" si="26"/>
        <v/>
      </c>
      <c r="O162" s="6" t="str">
        <f t="shared" si="27"/>
        <v/>
      </c>
    </row>
    <row r="163" spans="4:15" x14ac:dyDescent="0.25">
      <c r="D163" s="28" t="str">
        <f t="shared" si="21"/>
        <v/>
      </c>
      <c r="E163" s="27" t="str">
        <f t="shared" si="22"/>
        <v/>
      </c>
      <c r="F163" s="27" t="str">
        <f t="shared" si="23"/>
        <v/>
      </c>
      <c r="G163" s="27" t="str">
        <f t="shared" si="24"/>
        <v/>
      </c>
      <c r="H163" s="27" t="str">
        <f t="shared" si="25"/>
        <v/>
      </c>
      <c r="N163" s="7" t="str">
        <f t="shared" si="26"/>
        <v/>
      </c>
      <c r="O163" s="6" t="str">
        <f t="shared" si="27"/>
        <v/>
      </c>
    </row>
    <row r="164" spans="4:15" x14ac:dyDescent="0.25">
      <c r="D164" s="28" t="str">
        <f t="shared" si="21"/>
        <v/>
      </c>
      <c r="E164" s="27" t="str">
        <f t="shared" si="22"/>
        <v/>
      </c>
      <c r="F164" s="27" t="str">
        <f t="shared" si="23"/>
        <v/>
      </c>
      <c r="G164" s="27" t="str">
        <f t="shared" si="24"/>
        <v/>
      </c>
      <c r="H164" s="27" t="str">
        <f t="shared" si="25"/>
        <v/>
      </c>
      <c r="N164" s="7" t="str">
        <f t="shared" si="26"/>
        <v/>
      </c>
      <c r="O164" s="6" t="str">
        <f t="shared" si="27"/>
        <v/>
      </c>
    </row>
    <row r="165" spans="4:15" x14ac:dyDescent="0.25">
      <c r="D165" s="28" t="str">
        <f t="shared" si="21"/>
        <v/>
      </c>
      <c r="E165" s="27" t="str">
        <f t="shared" si="22"/>
        <v/>
      </c>
      <c r="F165" s="27" t="str">
        <f t="shared" si="23"/>
        <v/>
      </c>
      <c r="G165" s="27" t="str">
        <f t="shared" si="24"/>
        <v/>
      </c>
      <c r="H165" s="27" t="str">
        <f t="shared" si="25"/>
        <v/>
      </c>
      <c r="N165" s="7" t="str">
        <f t="shared" si="26"/>
        <v/>
      </c>
      <c r="O165" s="6" t="str">
        <f t="shared" si="27"/>
        <v/>
      </c>
    </row>
    <row r="166" spans="4:15" x14ac:dyDescent="0.25">
      <c r="D166" s="28" t="str">
        <f t="shared" si="21"/>
        <v/>
      </c>
      <c r="E166" s="27" t="str">
        <f t="shared" si="22"/>
        <v/>
      </c>
      <c r="F166" s="27" t="str">
        <f t="shared" si="23"/>
        <v/>
      </c>
      <c r="G166" s="27" t="str">
        <f t="shared" si="24"/>
        <v/>
      </c>
      <c r="H166" s="27" t="str">
        <f t="shared" si="25"/>
        <v/>
      </c>
      <c r="N166" s="7" t="str">
        <f t="shared" si="26"/>
        <v/>
      </c>
      <c r="O166" s="6" t="str">
        <f t="shared" si="27"/>
        <v/>
      </c>
    </row>
    <row r="167" spans="4:15" x14ac:dyDescent="0.25">
      <c r="D167" s="28" t="str">
        <f t="shared" si="21"/>
        <v/>
      </c>
      <c r="E167" s="27" t="str">
        <f t="shared" si="22"/>
        <v/>
      </c>
      <c r="F167" s="27" t="str">
        <f t="shared" si="23"/>
        <v/>
      </c>
      <c r="G167" s="27" t="str">
        <f t="shared" si="24"/>
        <v/>
      </c>
      <c r="H167" s="27" t="str">
        <f t="shared" si="25"/>
        <v/>
      </c>
      <c r="N167" s="7" t="str">
        <f t="shared" si="26"/>
        <v/>
      </c>
      <c r="O167" s="6" t="str">
        <f t="shared" si="27"/>
        <v/>
      </c>
    </row>
    <row r="168" spans="4:15" x14ac:dyDescent="0.25">
      <c r="D168" s="28" t="str">
        <f t="shared" si="21"/>
        <v/>
      </c>
      <c r="E168" s="27" t="str">
        <f t="shared" si="22"/>
        <v/>
      </c>
      <c r="F168" s="27" t="str">
        <f t="shared" si="23"/>
        <v/>
      </c>
      <c r="G168" s="27" t="str">
        <f t="shared" si="24"/>
        <v/>
      </c>
      <c r="H168" s="27" t="str">
        <f t="shared" si="25"/>
        <v/>
      </c>
      <c r="N168" s="7" t="str">
        <f t="shared" si="26"/>
        <v/>
      </c>
      <c r="O168" s="6" t="str">
        <f t="shared" si="27"/>
        <v/>
      </c>
    </row>
    <row r="169" spans="4:15" x14ac:dyDescent="0.25">
      <c r="D169" s="28" t="str">
        <f t="shared" si="21"/>
        <v/>
      </c>
      <c r="E169" s="27" t="str">
        <f t="shared" si="22"/>
        <v/>
      </c>
      <c r="F169" s="27" t="str">
        <f t="shared" si="23"/>
        <v/>
      </c>
      <c r="G169" s="27" t="str">
        <f t="shared" si="24"/>
        <v/>
      </c>
      <c r="H169" s="27" t="str">
        <f t="shared" si="25"/>
        <v/>
      </c>
      <c r="N169" s="7" t="str">
        <f t="shared" si="26"/>
        <v/>
      </c>
      <c r="O169" s="6" t="str">
        <f t="shared" si="27"/>
        <v/>
      </c>
    </row>
    <row r="170" spans="4:15" x14ac:dyDescent="0.25">
      <c r="D170" s="28" t="str">
        <f t="shared" si="21"/>
        <v/>
      </c>
      <c r="E170" s="27" t="str">
        <f t="shared" si="22"/>
        <v/>
      </c>
      <c r="F170" s="27" t="str">
        <f t="shared" si="23"/>
        <v/>
      </c>
      <c r="G170" s="27" t="str">
        <f t="shared" si="24"/>
        <v/>
      </c>
      <c r="H170" s="27" t="str">
        <f t="shared" si="25"/>
        <v/>
      </c>
      <c r="N170" s="7" t="str">
        <f t="shared" si="26"/>
        <v/>
      </c>
      <c r="O170" s="6" t="str">
        <f t="shared" si="27"/>
        <v/>
      </c>
    </row>
    <row r="171" spans="4:15" x14ac:dyDescent="0.25">
      <c r="D171" s="28" t="str">
        <f t="shared" si="21"/>
        <v/>
      </c>
      <c r="E171" s="27" t="str">
        <f t="shared" si="22"/>
        <v/>
      </c>
      <c r="F171" s="27" t="str">
        <f t="shared" si="23"/>
        <v/>
      </c>
      <c r="G171" s="27" t="str">
        <f t="shared" si="24"/>
        <v/>
      </c>
      <c r="H171" s="27" t="str">
        <f t="shared" si="25"/>
        <v/>
      </c>
      <c r="N171" s="7" t="str">
        <f t="shared" si="26"/>
        <v/>
      </c>
      <c r="O171" s="6" t="str">
        <f t="shared" si="27"/>
        <v/>
      </c>
    </row>
    <row r="172" spans="4:15" x14ac:dyDescent="0.25">
      <c r="D172" s="28" t="str">
        <f t="shared" si="21"/>
        <v/>
      </c>
      <c r="E172" s="27" t="str">
        <f t="shared" si="22"/>
        <v/>
      </c>
      <c r="F172" s="27" t="str">
        <f t="shared" si="23"/>
        <v/>
      </c>
      <c r="G172" s="27" t="str">
        <f t="shared" si="24"/>
        <v/>
      </c>
      <c r="H172" s="27" t="str">
        <f t="shared" si="25"/>
        <v/>
      </c>
      <c r="N172" s="7" t="str">
        <f t="shared" si="26"/>
        <v/>
      </c>
      <c r="O172" s="6" t="str">
        <f t="shared" si="27"/>
        <v/>
      </c>
    </row>
    <row r="173" spans="4:15" x14ac:dyDescent="0.25">
      <c r="D173" s="28" t="str">
        <f t="shared" si="21"/>
        <v/>
      </c>
      <c r="E173" s="27" t="str">
        <f t="shared" si="22"/>
        <v/>
      </c>
      <c r="F173" s="27" t="str">
        <f t="shared" si="23"/>
        <v/>
      </c>
      <c r="G173" s="27" t="str">
        <f t="shared" si="24"/>
        <v/>
      </c>
      <c r="H173" s="27" t="str">
        <f t="shared" si="25"/>
        <v/>
      </c>
      <c r="N173" s="7" t="str">
        <f t="shared" si="26"/>
        <v/>
      </c>
      <c r="O173" s="6" t="str">
        <f t="shared" si="27"/>
        <v/>
      </c>
    </row>
    <row r="174" spans="4:15" x14ac:dyDescent="0.25">
      <c r="D174" s="28" t="str">
        <f t="shared" si="21"/>
        <v/>
      </c>
      <c r="E174" s="27" t="str">
        <f t="shared" si="22"/>
        <v/>
      </c>
      <c r="F174" s="27" t="str">
        <f t="shared" si="23"/>
        <v/>
      </c>
      <c r="G174" s="27" t="str">
        <f t="shared" si="24"/>
        <v/>
      </c>
      <c r="H174" s="27" t="str">
        <f t="shared" si="25"/>
        <v/>
      </c>
      <c r="N174" s="7" t="str">
        <f t="shared" si="26"/>
        <v/>
      </c>
      <c r="O174" s="6" t="str">
        <f t="shared" si="27"/>
        <v/>
      </c>
    </row>
    <row r="175" spans="4:15" x14ac:dyDescent="0.25">
      <c r="D175" s="28" t="str">
        <f t="shared" si="21"/>
        <v/>
      </c>
      <c r="E175" s="27" t="str">
        <f t="shared" si="22"/>
        <v/>
      </c>
      <c r="F175" s="27" t="str">
        <f t="shared" si="23"/>
        <v/>
      </c>
      <c r="G175" s="27" t="str">
        <f t="shared" si="24"/>
        <v/>
      </c>
      <c r="H175" s="27" t="str">
        <f t="shared" si="25"/>
        <v/>
      </c>
      <c r="N175" s="7" t="str">
        <f t="shared" si="26"/>
        <v/>
      </c>
      <c r="O175" s="6" t="str">
        <f t="shared" si="27"/>
        <v/>
      </c>
    </row>
    <row r="176" spans="4:15" x14ac:dyDescent="0.25">
      <c r="D176" s="28" t="str">
        <f t="shared" si="21"/>
        <v/>
      </c>
      <c r="E176" s="27" t="str">
        <f t="shared" si="22"/>
        <v/>
      </c>
      <c r="F176" s="27" t="str">
        <f t="shared" si="23"/>
        <v/>
      </c>
      <c r="G176" s="27" t="str">
        <f t="shared" si="24"/>
        <v/>
      </c>
      <c r="H176" s="27" t="str">
        <f t="shared" si="25"/>
        <v/>
      </c>
      <c r="N176" s="7" t="str">
        <f t="shared" si="26"/>
        <v/>
      </c>
      <c r="O176" s="6" t="str">
        <f t="shared" si="27"/>
        <v/>
      </c>
    </row>
    <row r="177" spans="4:15" x14ac:dyDescent="0.25">
      <c r="D177" s="28" t="str">
        <f t="shared" si="21"/>
        <v/>
      </c>
      <c r="E177" s="27" t="str">
        <f t="shared" si="22"/>
        <v/>
      </c>
      <c r="F177" s="27" t="str">
        <f t="shared" si="23"/>
        <v/>
      </c>
      <c r="G177" s="27" t="str">
        <f t="shared" si="24"/>
        <v/>
      </c>
      <c r="H177" s="27" t="str">
        <f t="shared" si="25"/>
        <v/>
      </c>
      <c r="N177" s="7" t="str">
        <f t="shared" si="26"/>
        <v/>
      </c>
      <c r="O177" s="6" t="str">
        <f t="shared" si="27"/>
        <v/>
      </c>
    </row>
    <row r="178" spans="4:15" x14ac:dyDescent="0.25">
      <c r="D178" s="28" t="str">
        <f t="shared" si="21"/>
        <v/>
      </c>
      <c r="E178" s="27" t="str">
        <f t="shared" si="22"/>
        <v/>
      </c>
      <c r="F178" s="27" t="str">
        <f t="shared" si="23"/>
        <v/>
      </c>
      <c r="G178" s="27" t="str">
        <f t="shared" si="24"/>
        <v/>
      </c>
      <c r="H178" s="27" t="str">
        <f t="shared" si="25"/>
        <v/>
      </c>
      <c r="N178" s="7" t="str">
        <f t="shared" si="26"/>
        <v/>
      </c>
      <c r="O178" s="6" t="str">
        <f t="shared" si="27"/>
        <v/>
      </c>
    </row>
    <row r="179" spans="4:15" x14ac:dyDescent="0.25">
      <c r="D179" s="28" t="str">
        <f t="shared" si="21"/>
        <v/>
      </c>
      <c r="E179" s="27" t="str">
        <f t="shared" si="22"/>
        <v/>
      </c>
      <c r="F179" s="27" t="str">
        <f t="shared" si="23"/>
        <v/>
      </c>
      <c r="G179" s="27" t="str">
        <f t="shared" si="24"/>
        <v/>
      </c>
      <c r="H179" s="27" t="str">
        <f t="shared" si="25"/>
        <v/>
      </c>
      <c r="N179" s="7" t="str">
        <f t="shared" si="26"/>
        <v/>
      </c>
      <c r="O179" s="6" t="str">
        <f t="shared" si="27"/>
        <v/>
      </c>
    </row>
    <row r="180" spans="4:15" x14ac:dyDescent="0.25">
      <c r="D180" s="28" t="str">
        <f t="shared" si="21"/>
        <v/>
      </c>
      <c r="E180" s="27" t="str">
        <f t="shared" si="22"/>
        <v/>
      </c>
      <c r="F180" s="27" t="str">
        <f t="shared" si="23"/>
        <v/>
      </c>
      <c r="G180" s="27" t="str">
        <f t="shared" si="24"/>
        <v/>
      </c>
      <c r="H180" s="27" t="str">
        <f t="shared" si="25"/>
        <v/>
      </c>
      <c r="N180" s="7" t="str">
        <f t="shared" si="26"/>
        <v/>
      </c>
      <c r="O180" s="6" t="str">
        <f t="shared" si="27"/>
        <v/>
      </c>
    </row>
    <row r="181" spans="4:15" x14ac:dyDescent="0.25">
      <c r="D181" s="28" t="str">
        <f t="shared" si="21"/>
        <v/>
      </c>
      <c r="E181" s="27" t="str">
        <f t="shared" si="22"/>
        <v/>
      </c>
      <c r="F181" s="27" t="str">
        <f t="shared" si="23"/>
        <v/>
      </c>
      <c r="G181" s="27" t="str">
        <f t="shared" si="24"/>
        <v/>
      </c>
      <c r="H181" s="27" t="str">
        <f t="shared" si="25"/>
        <v/>
      </c>
      <c r="N181" s="7" t="str">
        <f t="shared" si="26"/>
        <v/>
      </c>
      <c r="O181" s="6" t="str">
        <f t="shared" si="27"/>
        <v/>
      </c>
    </row>
    <row r="182" spans="4:15" x14ac:dyDescent="0.25">
      <c r="D182" s="28" t="str">
        <f t="shared" si="21"/>
        <v/>
      </c>
      <c r="E182" s="27" t="str">
        <f t="shared" si="22"/>
        <v/>
      </c>
      <c r="F182" s="27" t="str">
        <f t="shared" si="23"/>
        <v/>
      </c>
      <c r="G182" s="27" t="str">
        <f t="shared" si="24"/>
        <v/>
      </c>
      <c r="H182" s="27" t="str">
        <f t="shared" si="25"/>
        <v/>
      </c>
      <c r="N182" s="7" t="str">
        <f t="shared" si="26"/>
        <v/>
      </c>
      <c r="O182" s="6" t="str">
        <f t="shared" si="27"/>
        <v/>
      </c>
    </row>
    <row r="183" spans="4:15" x14ac:dyDescent="0.25">
      <c r="D183" s="28" t="str">
        <f t="shared" si="21"/>
        <v/>
      </c>
      <c r="E183" s="27" t="str">
        <f t="shared" si="22"/>
        <v/>
      </c>
      <c r="F183" s="27" t="str">
        <f t="shared" si="23"/>
        <v/>
      </c>
      <c r="G183" s="27" t="str">
        <f t="shared" si="24"/>
        <v/>
      </c>
      <c r="H183" s="27" t="str">
        <f t="shared" si="25"/>
        <v/>
      </c>
      <c r="N183" s="7" t="str">
        <f t="shared" si="26"/>
        <v/>
      </c>
      <c r="O183" s="6" t="str">
        <f t="shared" si="27"/>
        <v/>
      </c>
    </row>
    <row r="184" spans="4:15" x14ac:dyDescent="0.25">
      <c r="D184" s="28" t="str">
        <f t="shared" si="21"/>
        <v/>
      </c>
      <c r="E184" s="27" t="str">
        <f t="shared" si="22"/>
        <v/>
      </c>
      <c r="F184" s="27" t="str">
        <f t="shared" si="23"/>
        <v/>
      </c>
      <c r="G184" s="27" t="str">
        <f t="shared" si="24"/>
        <v/>
      </c>
      <c r="H184" s="27" t="str">
        <f t="shared" si="25"/>
        <v/>
      </c>
      <c r="N184" s="7" t="str">
        <f t="shared" si="26"/>
        <v/>
      </c>
      <c r="O184" s="6" t="str">
        <f t="shared" si="27"/>
        <v/>
      </c>
    </row>
    <row r="185" spans="4:15" x14ac:dyDescent="0.25">
      <c r="D185" s="28" t="str">
        <f t="shared" si="21"/>
        <v/>
      </c>
      <c r="E185" s="27" t="str">
        <f t="shared" si="22"/>
        <v/>
      </c>
      <c r="F185" s="27" t="str">
        <f t="shared" si="23"/>
        <v/>
      </c>
      <c r="G185" s="27" t="str">
        <f t="shared" si="24"/>
        <v/>
      </c>
      <c r="H185" s="27" t="str">
        <f t="shared" si="25"/>
        <v/>
      </c>
      <c r="N185" s="7" t="str">
        <f t="shared" si="26"/>
        <v/>
      </c>
      <c r="O185" s="6" t="str">
        <f t="shared" si="27"/>
        <v/>
      </c>
    </row>
    <row r="186" spans="4:15" x14ac:dyDescent="0.25">
      <c r="D186" s="28" t="str">
        <f t="shared" si="21"/>
        <v/>
      </c>
      <c r="E186" s="27" t="str">
        <f t="shared" si="22"/>
        <v/>
      </c>
      <c r="F186" s="27" t="str">
        <f t="shared" si="23"/>
        <v/>
      </c>
      <c r="G186" s="27" t="str">
        <f t="shared" si="24"/>
        <v/>
      </c>
      <c r="H186" s="27" t="str">
        <f t="shared" si="25"/>
        <v/>
      </c>
      <c r="N186" s="7" t="str">
        <f t="shared" si="26"/>
        <v/>
      </c>
      <c r="O186" s="6" t="str">
        <f t="shared" si="27"/>
        <v/>
      </c>
    </row>
    <row r="187" spans="4:15" x14ac:dyDescent="0.25">
      <c r="D187" s="28" t="str">
        <f t="shared" si="21"/>
        <v/>
      </c>
      <c r="E187" s="27" t="str">
        <f t="shared" si="22"/>
        <v/>
      </c>
      <c r="F187" s="27" t="str">
        <f t="shared" si="23"/>
        <v/>
      </c>
      <c r="G187" s="27" t="str">
        <f t="shared" si="24"/>
        <v/>
      </c>
      <c r="H187" s="27" t="str">
        <f t="shared" si="25"/>
        <v/>
      </c>
      <c r="N187" s="7" t="str">
        <f t="shared" si="26"/>
        <v/>
      </c>
      <c r="O187" s="6" t="str">
        <f t="shared" si="27"/>
        <v/>
      </c>
    </row>
    <row r="188" spans="4:15" x14ac:dyDescent="0.25">
      <c r="D188" s="28" t="str">
        <f t="shared" si="21"/>
        <v/>
      </c>
      <c r="E188" s="27" t="str">
        <f t="shared" si="22"/>
        <v/>
      </c>
      <c r="F188" s="27" t="str">
        <f t="shared" si="23"/>
        <v/>
      </c>
      <c r="G188" s="27" t="str">
        <f t="shared" si="24"/>
        <v/>
      </c>
      <c r="H188" s="27" t="str">
        <f t="shared" si="25"/>
        <v/>
      </c>
      <c r="N188" s="7" t="str">
        <f t="shared" si="26"/>
        <v/>
      </c>
      <c r="O188" s="6" t="str">
        <f t="shared" si="27"/>
        <v/>
      </c>
    </row>
    <row r="189" spans="4:15" x14ac:dyDescent="0.25">
      <c r="D189" s="28" t="str">
        <f t="shared" si="21"/>
        <v/>
      </c>
      <c r="E189" s="27" t="str">
        <f t="shared" si="22"/>
        <v/>
      </c>
      <c r="F189" s="27" t="str">
        <f t="shared" si="23"/>
        <v/>
      </c>
      <c r="G189" s="27" t="str">
        <f t="shared" si="24"/>
        <v/>
      </c>
      <c r="H189" s="27" t="str">
        <f t="shared" si="25"/>
        <v/>
      </c>
      <c r="N189" s="7" t="str">
        <f t="shared" si="26"/>
        <v/>
      </c>
      <c r="O189" s="6" t="str">
        <f t="shared" si="27"/>
        <v/>
      </c>
    </row>
    <row r="190" spans="4:15" x14ac:dyDescent="0.25">
      <c r="D190" s="28" t="str">
        <f t="shared" si="21"/>
        <v/>
      </c>
      <c r="E190" s="27" t="str">
        <f t="shared" si="22"/>
        <v/>
      </c>
      <c r="F190" s="27" t="str">
        <f t="shared" si="23"/>
        <v/>
      </c>
      <c r="G190" s="27" t="str">
        <f t="shared" si="24"/>
        <v/>
      </c>
      <c r="H190" s="27" t="str">
        <f t="shared" si="25"/>
        <v/>
      </c>
      <c r="N190" s="7" t="str">
        <f t="shared" si="26"/>
        <v/>
      </c>
      <c r="O190" s="6" t="str">
        <f t="shared" si="27"/>
        <v/>
      </c>
    </row>
    <row r="191" spans="4:15" x14ac:dyDescent="0.25">
      <c r="D191" s="28" t="str">
        <f t="shared" si="21"/>
        <v/>
      </c>
      <c r="E191" s="27" t="str">
        <f t="shared" si="22"/>
        <v/>
      </c>
      <c r="F191" s="27" t="str">
        <f t="shared" si="23"/>
        <v/>
      </c>
      <c r="G191" s="27" t="str">
        <f t="shared" si="24"/>
        <v/>
      </c>
      <c r="H191" s="27" t="str">
        <f t="shared" si="25"/>
        <v/>
      </c>
      <c r="N191" s="7" t="str">
        <f t="shared" si="26"/>
        <v/>
      </c>
      <c r="O191" s="6" t="str">
        <f t="shared" si="27"/>
        <v/>
      </c>
    </row>
    <row r="192" spans="4:15" x14ac:dyDescent="0.25">
      <c r="D192" s="28" t="str">
        <f t="shared" si="21"/>
        <v/>
      </c>
      <c r="E192" s="27" t="str">
        <f t="shared" si="22"/>
        <v/>
      </c>
      <c r="F192" s="27" t="str">
        <f t="shared" si="23"/>
        <v/>
      </c>
      <c r="G192" s="27" t="str">
        <f t="shared" si="24"/>
        <v/>
      </c>
      <c r="H192" s="27" t="str">
        <f t="shared" si="25"/>
        <v/>
      </c>
      <c r="N192" s="7" t="str">
        <f t="shared" si="26"/>
        <v/>
      </c>
      <c r="O192" s="6" t="str">
        <f t="shared" si="27"/>
        <v/>
      </c>
    </row>
    <row r="193" spans="4:15" x14ac:dyDescent="0.25">
      <c r="D193" s="28" t="str">
        <f t="shared" si="21"/>
        <v/>
      </c>
      <c r="E193" s="27" t="str">
        <f t="shared" si="22"/>
        <v/>
      </c>
      <c r="F193" s="27" t="str">
        <f t="shared" si="23"/>
        <v/>
      </c>
      <c r="G193" s="27" t="str">
        <f t="shared" si="24"/>
        <v/>
      </c>
      <c r="H193" s="27" t="str">
        <f t="shared" si="25"/>
        <v/>
      </c>
      <c r="N193" s="7" t="str">
        <f t="shared" si="26"/>
        <v/>
      </c>
      <c r="O193" s="6" t="str">
        <f t="shared" si="27"/>
        <v/>
      </c>
    </row>
    <row r="194" spans="4:15" x14ac:dyDescent="0.25">
      <c r="D194" s="28" t="str">
        <f t="shared" si="21"/>
        <v/>
      </c>
      <c r="E194" s="27" t="str">
        <f t="shared" si="22"/>
        <v/>
      </c>
      <c r="F194" s="27" t="str">
        <f t="shared" si="23"/>
        <v/>
      </c>
      <c r="G194" s="27" t="str">
        <f t="shared" si="24"/>
        <v/>
      </c>
      <c r="H194" s="27" t="str">
        <f t="shared" si="25"/>
        <v/>
      </c>
      <c r="N194" s="7" t="str">
        <f t="shared" si="26"/>
        <v/>
      </c>
      <c r="O194" s="6" t="str">
        <f t="shared" si="27"/>
        <v/>
      </c>
    </row>
    <row r="195" spans="4:15" x14ac:dyDescent="0.25">
      <c r="D195" s="28" t="str">
        <f t="shared" si="21"/>
        <v/>
      </c>
      <c r="E195" s="27" t="str">
        <f t="shared" si="22"/>
        <v/>
      </c>
      <c r="F195" s="27" t="str">
        <f t="shared" si="23"/>
        <v/>
      </c>
      <c r="G195" s="27" t="str">
        <f t="shared" si="24"/>
        <v/>
      </c>
      <c r="H195" s="27" t="str">
        <f t="shared" si="25"/>
        <v/>
      </c>
      <c r="N195" s="7" t="str">
        <f t="shared" si="26"/>
        <v/>
      </c>
      <c r="O195" s="6" t="str">
        <f t="shared" si="27"/>
        <v/>
      </c>
    </row>
    <row r="196" spans="4:15" x14ac:dyDescent="0.25">
      <c r="D196" s="28" t="str">
        <f t="shared" si="21"/>
        <v/>
      </c>
      <c r="E196" s="27" t="str">
        <f t="shared" si="22"/>
        <v/>
      </c>
      <c r="F196" s="27" t="str">
        <f t="shared" si="23"/>
        <v/>
      </c>
      <c r="G196" s="27" t="str">
        <f t="shared" si="24"/>
        <v/>
      </c>
      <c r="H196" s="27" t="str">
        <f t="shared" si="25"/>
        <v/>
      </c>
      <c r="N196" s="7" t="str">
        <f t="shared" si="26"/>
        <v/>
      </c>
      <c r="O196" s="6" t="str">
        <f t="shared" si="27"/>
        <v/>
      </c>
    </row>
    <row r="197" spans="4:15" x14ac:dyDescent="0.25">
      <c r="D197" s="28" t="str">
        <f t="shared" si="21"/>
        <v/>
      </c>
      <c r="E197" s="27" t="str">
        <f t="shared" si="22"/>
        <v/>
      </c>
      <c r="F197" s="27" t="str">
        <f t="shared" si="23"/>
        <v/>
      </c>
      <c r="G197" s="27" t="str">
        <f t="shared" si="24"/>
        <v/>
      </c>
      <c r="H197" s="27" t="str">
        <f t="shared" si="25"/>
        <v/>
      </c>
      <c r="N197" s="7" t="str">
        <f t="shared" si="26"/>
        <v/>
      </c>
      <c r="O197" s="6" t="str">
        <f t="shared" si="27"/>
        <v/>
      </c>
    </row>
    <row r="198" spans="4:15" x14ac:dyDescent="0.25">
      <c r="D198" s="28" t="str">
        <f t="shared" si="21"/>
        <v/>
      </c>
      <c r="E198" s="27" t="str">
        <f t="shared" si="22"/>
        <v/>
      </c>
      <c r="F198" s="27" t="str">
        <f t="shared" si="23"/>
        <v/>
      </c>
      <c r="G198" s="27" t="str">
        <f t="shared" si="24"/>
        <v/>
      </c>
      <c r="H198" s="27" t="str">
        <f t="shared" si="25"/>
        <v/>
      </c>
      <c r="N198" s="7" t="str">
        <f t="shared" si="26"/>
        <v/>
      </c>
      <c r="O198" s="6" t="str">
        <f t="shared" si="27"/>
        <v/>
      </c>
    </row>
    <row r="199" spans="4:15" x14ac:dyDescent="0.25">
      <c r="D199" s="28" t="str">
        <f t="shared" si="21"/>
        <v/>
      </c>
      <c r="E199" s="27" t="str">
        <f t="shared" si="22"/>
        <v/>
      </c>
      <c r="F199" s="27" t="str">
        <f t="shared" si="23"/>
        <v/>
      </c>
      <c r="G199" s="27" t="str">
        <f t="shared" si="24"/>
        <v/>
      </c>
      <c r="H199" s="27" t="str">
        <f t="shared" si="25"/>
        <v/>
      </c>
      <c r="N199" s="7" t="str">
        <f t="shared" si="26"/>
        <v/>
      </c>
      <c r="O199" s="6" t="str">
        <f t="shared" si="27"/>
        <v/>
      </c>
    </row>
    <row r="200" spans="4:15" x14ac:dyDescent="0.25">
      <c r="D200" s="28" t="str">
        <f t="shared" ref="D200:D263" si="28">IF(K200&lt;&gt;"",1+INT((K200-(DATE(YEAR(K200),1,2)-WEEKDAY(DATE(YEAR(K200),1,1))))/7),"")</f>
        <v/>
      </c>
      <c r="E200" s="27" t="str">
        <f t="shared" ref="E200:E263" si="29">IF(K200&lt;&gt;"",TEXT(K200,"ddd"),"")</f>
        <v/>
      </c>
      <c r="F200" s="27" t="str">
        <f t="shared" ref="F200:F263" si="30">IF(K200&lt;&gt;"",MONTH(K200),"")</f>
        <v/>
      </c>
      <c r="G200" s="27" t="str">
        <f t="shared" ref="G200:G263" si="31">IF(K200&lt;&gt;"",DAY(K200),"")</f>
        <v/>
      </c>
      <c r="H200" s="27" t="str">
        <f t="shared" ref="H200:H263" si="32">IF(K200&lt;&gt;"",YEAR(K200),"")</f>
        <v/>
      </c>
      <c r="N200" s="7" t="str">
        <f t="shared" ref="N200:N263" si="33">IF(W200&lt;&gt;"",1+INT((W200-(DATE(YEAR(W200),1,2)-WEEKDAY(DATE(YEAR(W200),1,1))))/7),"")</f>
        <v/>
      </c>
      <c r="O200" s="6" t="str">
        <f t="shared" ref="O200:O263" si="34">IF(W200&lt;&gt;"",TEXT(W200,"ddd"),"")</f>
        <v/>
      </c>
    </row>
    <row r="201" spans="4:15" x14ac:dyDescent="0.25">
      <c r="D201" s="28" t="str">
        <f t="shared" si="28"/>
        <v/>
      </c>
      <c r="E201" s="27" t="str">
        <f t="shared" si="29"/>
        <v/>
      </c>
      <c r="F201" s="27" t="str">
        <f t="shared" si="30"/>
        <v/>
      </c>
      <c r="G201" s="27" t="str">
        <f t="shared" si="31"/>
        <v/>
      </c>
      <c r="H201" s="27" t="str">
        <f t="shared" si="32"/>
        <v/>
      </c>
      <c r="N201" s="7" t="str">
        <f t="shared" si="33"/>
        <v/>
      </c>
      <c r="O201" s="6" t="str">
        <f t="shared" si="34"/>
        <v/>
      </c>
    </row>
    <row r="202" spans="4:15" x14ac:dyDescent="0.25">
      <c r="D202" s="28" t="str">
        <f t="shared" si="28"/>
        <v/>
      </c>
      <c r="E202" s="27" t="str">
        <f t="shared" si="29"/>
        <v/>
      </c>
      <c r="F202" s="27" t="str">
        <f t="shared" si="30"/>
        <v/>
      </c>
      <c r="G202" s="27" t="str">
        <f t="shared" si="31"/>
        <v/>
      </c>
      <c r="H202" s="27" t="str">
        <f t="shared" si="32"/>
        <v/>
      </c>
      <c r="N202" s="7" t="str">
        <f t="shared" si="33"/>
        <v/>
      </c>
      <c r="O202" s="6" t="str">
        <f t="shared" si="34"/>
        <v/>
      </c>
    </row>
    <row r="203" spans="4:15" x14ac:dyDescent="0.25">
      <c r="D203" s="28" t="str">
        <f t="shared" si="28"/>
        <v/>
      </c>
      <c r="E203" s="27" t="str">
        <f t="shared" si="29"/>
        <v/>
      </c>
      <c r="F203" s="27" t="str">
        <f t="shared" si="30"/>
        <v/>
      </c>
      <c r="G203" s="27" t="str">
        <f t="shared" si="31"/>
        <v/>
      </c>
      <c r="H203" s="27" t="str">
        <f t="shared" si="32"/>
        <v/>
      </c>
      <c r="N203" s="7" t="str">
        <f t="shared" si="33"/>
        <v/>
      </c>
      <c r="O203" s="6" t="str">
        <f t="shared" si="34"/>
        <v/>
      </c>
    </row>
    <row r="204" spans="4:15" x14ac:dyDescent="0.25">
      <c r="D204" s="28" t="str">
        <f t="shared" si="28"/>
        <v/>
      </c>
      <c r="E204" s="27" t="str">
        <f t="shared" si="29"/>
        <v/>
      </c>
      <c r="F204" s="27" t="str">
        <f t="shared" si="30"/>
        <v/>
      </c>
      <c r="G204" s="27" t="str">
        <f t="shared" si="31"/>
        <v/>
      </c>
      <c r="H204" s="27" t="str">
        <f t="shared" si="32"/>
        <v/>
      </c>
      <c r="N204" s="7" t="str">
        <f t="shared" si="33"/>
        <v/>
      </c>
      <c r="O204" s="6" t="str">
        <f t="shared" si="34"/>
        <v/>
      </c>
    </row>
    <row r="205" spans="4:15" x14ac:dyDescent="0.25">
      <c r="D205" s="28" t="str">
        <f t="shared" si="28"/>
        <v/>
      </c>
      <c r="E205" s="27" t="str">
        <f t="shared" si="29"/>
        <v/>
      </c>
      <c r="F205" s="27" t="str">
        <f t="shared" si="30"/>
        <v/>
      </c>
      <c r="G205" s="27" t="str">
        <f t="shared" si="31"/>
        <v/>
      </c>
      <c r="H205" s="27" t="str">
        <f t="shared" si="32"/>
        <v/>
      </c>
      <c r="N205" s="7" t="str">
        <f t="shared" si="33"/>
        <v/>
      </c>
      <c r="O205" s="6" t="str">
        <f t="shared" si="34"/>
        <v/>
      </c>
    </row>
    <row r="206" spans="4:15" x14ac:dyDescent="0.25">
      <c r="D206" s="28" t="str">
        <f t="shared" si="28"/>
        <v/>
      </c>
      <c r="E206" s="27" t="str">
        <f t="shared" si="29"/>
        <v/>
      </c>
      <c r="F206" s="27" t="str">
        <f t="shared" si="30"/>
        <v/>
      </c>
      <c r="G206" s="27" t="str">
        <f t="shared" si="31"/>
        <v/>
      </c>
      <c r="H206" s="27" t="str">
        <f t="shared" si="32"/>
        <v/>
      </c>
      <c r="N206" s="7" t="str">
        <f t="shared" si="33"/>
        <v/>
      </c>
      <c r="O206" s="6" t="str">
        <f t="shared" si="34"/>
        <v/>
      </c>
    </row>
    <row r="207" spans="4:15" x14ac:dyDescent="0.25">
      <c r="D207" s="28" t="str">
        <f t="shared" si="28"/>
        <v/>
      </c>
      <c r="E207" s="27" t="str">
        <f t="shared" si="29"/>
        <v/>
      </c>
      <c r="F207" s="27" t="str">
        <f t="shared" si="30"/>
        <v/>
      </c>
      <c r="G207" s="27" t="str">
        <f t="shared" si="31"/>
        <v/>
      </c>
      <c r="H207" s="27" t="str">
        <f t="shared" si="32"/>
        <v/>
      </c>
      <c r="N207" s="7" t="str">
        <f t="shared" si="33"/>
        <v/>
      </c>
      <c r="O207" s="6" t="str">
        <f t="shared" si="34"/>
        <v/>
      </c>
    </row>
    <row r="208" spans="4:15" x14ac:dyDescent="0.25">
      <c r="D208" s="28" t="str">
        <f t="shared" si="28"/>
        <v/>
      </c>
      <c r="E208" s="27" t="str">
        <f t="shared" si="29"/>
        <v/>
      </c>
      <c r="F208" s="27" t="str">
        <f t="shared" si="30"/>
        <v/>
      </c>
      <c r="G208" s="27" t="str">
        <f t="shared" si="31"/>
        <v/>
      </c>
      <c r="H208" s="27" t="str">
        <f t="shared" si="32"/>
        <v/>
      </c>
      <c r="N208" s="7" t="str">
        <f t="shared" si="33"/>
        <v/>
      </c>
      <c r="O208" s="6" t="str">
        <f t="shared" si="34"/>
        <v/>
      </c>
    </row>
    <row r="209" spans="4:15" x14ac:dyDescent="0.25">
      <c r="D209" s="28" t="str">
        <f t="shared" si="28"/>
        <v/>
      </c>
      <c r="E209" s="27" t="str">
        <f t="shared" si="29"/>
        <v/>
      </c>
      <c r="F209" s="27" t="str">
        <f t="shared" si="30"/>
        <v/>
      </c>
      <c r="G209" s="27" t="str">
        <f t="shared" si="31"/>
        <v/>
      </c>
      <c r="H209" s="27" t="str">
        <f t="shared" si="32"/>
        <v/>
      </c>
      <c r="N209" s="7" t="str">
        <f t="shared" si="33"/>
        <v/>
      </c>
      <c r="O209" s="6" t="str">
        <f t="shared" si="34"/>
        <v/>
      </c>
    </row>
    <row r="210" spans="4:15" x14ac:dyDescent="0.25">
      <c r="D210" s="28" t="str">
        <f t="shared" si="28"/>
        <v/>
      </c>
      <c r="E210" s="27" t="str">
        <f t="shared" si="29"/>
        <v/>
      </c>
      <c r="F210" s="27" t="str">
        <f t="shared" si="30"/>
        <v/>
      </c>
      <c r="G210" s="27" t="str">
        <f t="shared" si="31"/>
        <v/>
      </c>
      <c r="H210" s="27" t="str">
        <f t="shared" si="32"/>
        <v/>
      </c>
      <c r="N210" s="7" t="str">
        <f t="shared" si="33"/>
        <v/>
      </c>
      <c r="O210" s="6" t="str">
        <f t="shared" si="34"/>
        <v/>
      </c>
    </row>
    <row r="211" spans="4:15" x14ac:dyDescent="0.25">
      <c r="D211" s="28" t="str">
        <f t="shared" si="28"/>
        <v/>
      </c>
      <c r="E211" s="27" t="str">
        <f t="shared" si="29"/>
        <v/>
      </c>
      <c r="F211" s="27" t="str">
        <f t="shared" si="30"/>
        <v/>
      </c>
      <c r="G211" s="27" t="str">
        <f t="shared" si="31"/>
        <v/>
      </c>
      <c r="H211" s="27" t="str">
        <f t="shared" si="32"/>
        <v/>
      </c>
      <c r="N211" s="7" t="str">
        <f t="shared" si="33"/>
        <v/>
      </c>
      <c r="O211" s="6" t="str">
        <f t="shared" si="34"/>
        <v/>
      </c>
    </row>
    <row r="212" spans="4:15" x14ac:dyDescent="0.25">
      <c r="D212" s="28" t="str">
        <f t="shared" si="28"/>
        <v/>
      </c>
      <c r="E212" s="27" t="str">
        <f t="shared" si="29"/>
        <v/>
      </c>
      <c r="F212" s="27" t="str">
        <f t="shared" si="30"/>
        <v/>
      </c>
      <c r="G212" s="27" t="str">
        <f t="shared" si="31"/>
        <v/>
      </c>
      <c r="H212" s="27" t="str">
        <f t="shared" si="32"/>
        <v/>
      </c>
      <c r="N212" s="7" t="str">
        <f t="shared" si="33"/>
        <v/>
      </c>
      <c r="O212" s="6" t="str">
        <f t="shared" si="34"/>
        <v/>
      </c>
    </row>
    <row r="213" spans="4:15" x14ac:dyDescent="0.25">
      <c r="D213" s="28" t="str">
        <f t="shared" si="28"/>
        <v/>
      </c>
      <c r="E213" s="27" t="str">
        <f t="shared" si="29"/>
        <v/>
      </c>
      <c r="F213" s="27" t="str">
        <f t="shared" si="30"/>
        <v/>
      </c>
      <c r="G213" s="27" t="str">
        <f t="shared" si="31"/>
        <v/>
      </c>
      <c r="H213" s="27" t="str">
        <f t="shared" si="32"/>
        <v/>
      </c>
      <c r="N213" s="7" t="str">
        <f t="shared" si="33"/>
        <v/>
      </c>
      <c r="O213" s="6" t="str">
        <f t="shared" si="34"/>
        <v/>
      </c>
    </row>
    <row r="214" spans="4:15" x14ac:dyDescent="0.25">
      <c r="D214" s="28" t="str">
        <f t="shared" si="28"/>
        <v/>
      </c>
      <c r="E214" s="27" t="str">
        <f t="shared" si="29"/>
        <v/>
      </c>
      <c r="F214" s="27" t="str">
        <f t="shared" si="30"/>
        <v/>
      </c>
      <c r="G214" s="27" t="str">
        <f t="shared" si="31"/>
        <v/>
      </c>
      <c r="H214" s="27" t="str">
        <f t="shared" si="32"/>
        <v/>
      </c>
      <c r="N214" s="7" t="str">
        <f t="shared" si="33"/>
        <v/>
      </c>
      <c r="O214" s="6" t="str">
        <f t="shared" si="34"/>
        <v/>
      </c>
    </row>
    <row r="215" spans="4:15" x14ac:dyDescent="0.25">
      <c r="D215" s="28" t="str">
        <f t="shared" si="28"/>
        <v/>
      </c>
      <c r="E215" s="27" t="str">
        <f t="shared" si="29"/>
        <v/>
      </c>
      <c r="F215" s="27" t="str">
        <f t="shared" si="30"/>
        <v/>
      </c>
      <c r="G215" s="27" t="str">
        <f t="shared" si="31"/>
        <v/>
      </c>
      <c r="H215" s="27" t="str">
        <f t="shared" si="32"/>
        <v/>
      </c>
      <c r="N215" s="7" t="str">
        <f t="shared" si="33"/>
        <v/>
      </c>
      <c r="O215" s="6" t="str">
        <f t="shared" si="34"/>
        <v/>
      </c>
    </row>
    <row r="216" spans="4:15" x14ac:dyDescent="0.25">
      <c r="D216" s="28" t="str">
        <f t="shared" si="28"/>
        <v/>
      </c>
      <c r="E216" s="27" t="str">
        <f t="shared" si="29"/>
        <v/>
      </c>
      <c r="F216" s="27" t="str">
        <f t="shared" si="30"/>
        <v/>
      </c>
      <c r="G216" s="27" t="str">
        <f t="shared" si="31"/>
        <v/>
      </c>
      <c r="H216" s="27" t="str">
        <f t="shared" si="32"/>
        <v/>
      </c>
      <c r="N216" s="7" t="str">
        <f t="shared" si="33"/>
        <v/>
      </c>
      <c r="O216" s="6" t="str">
        <f t="shared" si="34"/>
        <v/>
      </c>
    </row>
    <row r="217" spans="4:15" x14ac:dyDescent="0.25">
      <c r="D217" s="28" t="str">
        <f t="shared" si="28"/>
        <v/>
      </c>
      <c r="E217" s="27" t="str">
        <f t="shared" si="29"/>
        <v/>
      </c>
      <c r="F217" s="27" t="str">
        <f t="shared" si="30"/>
        <v/>
      </c>
      <c r="G217" s="27" t="str">
        <f t="shared" si="31"/>
        <v/>
      </c>
      <c r="H217" s="27" t="str">
        <f t="shared" si="32"/>
        <v/>
      </c>
      <c r="N217" s="7" t="str">
        <f t="shared" si="33"/>
        <v/>
      </c>
      <c r="O217" s="6" t="str">
        <f t="shared" si="34"/>
        <v/>
      </c>
    </row>
    <row r="218" spans="4:15" x14ac:dyDescent="0.25">
      <c r="D218" s="28" t="str">
        <f t="shared" si="28"/>
        <v/>
      </c>
      <c r="E218" s="27" t="str">
        <f t="shared" si="29"/>
        <v/>
      </c>
      <c r="F218" s="27" t="str">
        <f t="shared" si="30"/>
        <v/>
      </c>
      <c r="G218" s="27" t="str">
        <f t="shared" si="31"/>
        <v/>
      </c>
      <c r="H218" s="27" t="str">
        <f t="shared" si="32"/>
        <v/>
      </c>
      <c r="N218" s="7" t="str">
        <f t="shared" si="33"/>
        <v/>
      </c>
      <c r="O218" s="6" t="str">
        <f t="shared" si="34"/>
        <v/>
      </c>
    </row>
    <row r="219" spans="4:15" x14ac:dyDescent="0.25">
      <c r="D219" s="28" t="str">
        <f t="shared" si="28"/>
        <v/>
      </c>
      <c r="E219" s="27" t="str">
        <f t="shared" si="29"/>
        <v/>
      </c>
      <c r="F219" s="27" t="str">
        <f t="shared" si="30"/>
        <v/>
      </c>
      <c r="G219" s="27" t="str">
        <f t="shared" si="31"/>
        <v/>
      </c>
      <c r="H219" s="27" t="str">
        <f t="shared" si="32"/>
        <v/>
      </c>
      <c r="N219" s="7" t="str">
        <f t="shared" si="33"/>
        <v/>
      </c>
      <c r="O219" s="6" t="str">
        <f t="shared" si="34"/>
        <v/>
      </c>
    </row>
    <row r="220" spans="4:15" x14ac:dyDescent="0.25">
      <c r="D220" s="28" t="str">
        <f t="shared" si="28"/>
        <v/>
      </c>
      <c r="E220" s="27" t="str">
        <f t="shared" si="29"/>
        <v/>
      </c>
      <c r="F220" s="27" t="str">
        <f t="shared" si="30"/>
        <v/>
      </c>
      <c r="G220" s="27" t="str">
        <f t="shared" si="31"/>
        <v/>
      </c>
      <c r="H220" s="27" t="str">
        <f t="shared" si="32"/>
        <v/>
      </c>
      <c r="N220" s="7" t="str">
        <f t="shared" si="33"/>
        <v/>
      </c>
      <c r="O220" s="6" t="str">
        <f t="shared" si="34"/>
        <v/>
      </c>
    </row>
    <row r="221" spans="4:15" x14ac:dyDescent="0.25">
      <c r="D221" s="28" t="str">
        <f t="shared" si="28"/>
        <v/>
      </c>
      <c r="E221" s="27" t="str">
        <f t="shared" si="29"/>
        <v/>
      </c>
      <c r="F221" s="27" t="str">
        <f t="shared" si="30"/>
        <v/>
      </c>
      <c r="G221" s="27" t="str">
        <f t="shared" si="31"/>
        <v/>
      </c>
      <c r="H221" s="27" t="str">
        <f t="shared" si="32"/>
        <v/>
      </c>
      <c r="N221" s="7" t="str">
        <f t="shared" si="33"/>
        <v/>
      </c>
      <c r="O221" s="6" t="str">
        <f t="shared" si="34"/>
        <v/>
      </c>
    </row>
    <row r="222" spans="4:15" x14ac:dyDescent="0.25">
      <c r="D222" s="28" t="str">
        <f t="shared" si="28"/>
        <v/>
      </c>
      <c r="E222" s="27" t="str">
        <f t="shared" si="29"/>
        <v/>
      </c>
      <c r="F222" s="27" t="str">
        <f t="shared" si="30"/>
        <v/>
      </c>
      <c r="G222" s="27" t="str">
        <f t="shared" si="31"/>
        <v/>
      </c>
      <c r="H222" s="27" t="str">
        <f t="shared" si="32"/>
        <v/>
      </c>
      <c r="N222" s="7" t="str">
        <f t="shared" si="33"/>
        <v/>
      </c>
      <c r="O222" s="6" t="str">
        <f t="shared" si="34"/>
        <v/>
      </c>
    </row>
    <row r="223" spans="4:15" x14ac:dyDescent="0.25">
      <c r="D223" s="28" t="str">
        <f t="shared" si="28"/>
        <v/>
      </c>
      <c r="E223" s="27" t="str">
        <f t="shared" si="29"/>
        <v/>
      </c>
      <c r="F223" s="27" t="str">
        <f t="shared" si="30"/>
        <v/>
      </c>
      <c r="G223" s="27" t="str">
        <f t="shared" si="31"/>
        <v/>
      </c>
      <c r="H223" s="27" t="str">
        <f t="shared" si="32"/>
        <v/>
      </c>
      <c r="N223" s="7" t="str">
        <f t="shared" si="33"/>
        <v/>
      </c>
      <c r="O223" s="6" t="str">
        <f t="shared" si="34"/>
        <v/>
      </c>
    </row>
    <row r="224" spans="4:15" x14ac:dyDescent="0.25">
      <c r="D224" s="28" t="str">
        <f t="shared" si="28"/>
        <v/>
      </c>
      <c r="E224" s="27" t="str">
        <f t="shared" si="29"/>
        <v/>
      </c>
      <c r="F224" s="27" t="str">
        <f t="shared" si="30"/>
        <v/>
      </c>
      <c r="G224" s="27" t="str">
        <f t="shared" si="31"/>
        <v/>
      </c>
      <c r="H224" s="27" t="str">
        <f t="shared" si="32"/>
        <v/>
      </c>
      <c r="N224" s="7" t="str">
        <f t="shared" si="33"/>
        <v/>
      </c>
      <c r="O224" s="6" t="str">
        <f t="shared" si="34"/>
        <v/>
      </c>
    </row>
    <row r="225" spans="4:15" x14ac:dyDescent="0.25">
      <c r="D225" s="28" t="str">
        <f t="shared" si="28"/>
        <v/>
      </c>
      <c r="E225" s="27" t="str">
        <f t="shared" si="29"/>
        <v/>
      </c>
      <c r="F225" s="27" t="str">
        <f t="shared" si="30"/>
        <v/>
      </c>
      <c r="G225" s="27" t="str">
        <f t="shared" si="31"/>
        <v/>
      </c>
      <c r="H225" s="27" t="str">
        <f t="shared" si="32"/>
        <v/>
      </c>
      <c r="N225" s="7" t="str">
        <f t="shared" si="33"/>
        <v/>
      </c>
      <c r="O225" s="6" t="str">
        <f t="shared" si="34"/>
        <v/>
      </c>
    </row>
    <row r="226" spans="4:15" x14ac:dyDescent="0.25">
      <c r="D226" s="28" t="str">
        <f t="shared" si="28"/>
        <v/>
      </c>
      <c r="E226" s="27" t="str">
        <f t="shared" si="29"/>
        <v/>
      </c>
      <c r="F226" s="27" t="str">
        <f t="shared" si="30"/>
        <v/>
      </c>
      <c r="G226" s="27" t="str">
        <f t="shared" si="31"/>
        <v/>
      </c>
      <c r="H226" s="27" t="str">
        <f t="shared" si="32"/>
        <v/>
      </c>
      <c r="N226" s="7" t="str">
        <f t="shared" si="33"/>
        <v/>
      </c>
      <c r="O226" s="6" t="str">
        <f t="shared" si="34"/>
        <v/>
      </c>
    </row>
    <row r="227" spans="4:15" x14ac:dyDescent="0.25">
      <c r="D227" s="28" t="str">
        <f t="shared" si="28"/>
        <v/>
      </c>
      <c r="E227" s="27" t="str">
        <f t="shared" si="29"/>
        <v/>
      </c>
      <c r="F227" s="27" t="str">
        <f t="shared" si="30"/>
        <v/>
      </c>
      <c r="G227" s="27" t="str">
        <f t="shared" si="31"/>
        <v/>
      </c>
      <c r="H227" s="27" t="str">
        <f t="shared" si="32"/>
        <v/>
      </c>
      <c r="N227" s="7" t="str">
        <f t="shared" si="33"/>
        <v/>
      </c>
      <c r="O227" s="6" t="str">
        <f t="shared" si="34"/>
        <v/>
      </c>
    </row>
    <row r="228" spans="4:15" x14ac:dyDescent="0.25">
      <c r="D228" s="28" t="str">
        <f t="shared" si="28"/>
        <v/>
      </c>
      <c r="E228" s="27" t="str">
        <f t="shared" si="29"/>
        <v/>
      </c>
      <c r="F228" s="27" t="str">
        <f t="shared" si="30"/>
        <v/>
      </c>
      <c r="G228" s="27" t="str">
        <f t="shared" si="31"/>
        <v/>
      </c>
      <c r="H228" s="27" t="str">
        <f t="shared" si="32"/>
        <v/>
      </c>
      <c r="N228" s="7" t="str">
        <f t="shared" si="33"/>
        <v/>
      </c>
      <c r="O228" s="6" t="str">
        <f t="shared" si="34"/>
        <v/>
      </c>
    </row>
    <row r="229" spans="4:15" x14ac:dyDescent="0.25">
      <c r="D229" s="28" t="str">
        <f t="shared" si="28"/>
        <v/>
      </c>
      <c r="E229" s="27" t="str">
        <f t="shared" si="29"/>
        <v/>
      </c>
      <c r="F229" s="27" t="str">
        <f t="shared" si="30"/>
        <v/>
      </c>
      <c r="G229" s="27" t="str">
        <f t="shared" si="31"/>
        <v/>
      </c>
      <c r="H229" s="27" t="str">
        <f t="shared" si="32"/>
        <v/>
      </c>
      <c r="N229" s="7" t="str">
        <f t="shared" si="33"/>
        <v/>
      </c>
      <c r="O229" s="6" t="str">
        <f t="shared" si="34"/>
        <v/>
      </c>
    </row>
    <row r="230" spans="4:15" x14ac:dyDescent="0.25">
      <c r="D230" s="28" t="str">
        <f t="shared" si="28"/>
        <v/>
      </c>
      <c r="E230" s="27" t="str">
        <f t="shared" si="29"/>
        <v/>
      </c>
      <c r="F230" s="27" t="str">
        <f t="shared" si="30"/>
        <v/>
      </c>
      <c r="G230" s="27" t="str">
        <f t="shared" si="31"/>
        <v/>
      </c>
      <c r="H230" s="27" t="str">
        <f t="shared" si="32"/>
        <v/>
      </c>
      <c r="N230" s="7" t="str">
        <f t="shared" si="33"/>
        <v/>
      </c>
      <c r="O230" s="6" t="str">
        <f t="shared" si="34"/>
        <v/>
      </c>
    </row>
    <row r="231" spans="4:15" x14ac:dyDescent="0.25">
      <c r="D231" s="28" t="str">
        <f t="shared" si="28"/>
        <v/>
      </c>
      <c r="E231" s="27" t="str">
        <f t="shared" si="29"/>
        <v/>
      </c>
      <c r="F231" s="27" t="str">
        <f t="shared" si="30"/>
        <v/>
      </c>
      <c r="G231" s="27" t="str">
        <f t="shared" si="31"/>
        <v/>
      </c>
      <c r="H231" s="27" t="str">
        <f t="shared" si="32"/>
        <v/>
      </c>
      <c r="N231" s="7" t="str">
        <f t="shared" si="33"/>
        <v/>
      </c>
      <c r="O231" s="6" t="str">
        <f t="shared" si="34"/>
        <v/>
      </c>
    </row>
    <row r="232" spans="4:15" x14ac:dyDescent="0.25">
      <c r="D232" s="28" t="str">
        <f t="shared" si="28"/>
        <v/>
      </c>
      <c r="E232" s="27" t="str">
        <f t="shared" si="29"/>
        <v/>
      </c>
      <c r="F232" s="27" t="str">
        <f t="shared" si="30"/>
        <v/>
      </c>
      <c r="G232" s="27" t="str">
        <f t="shared" si="31"/>
        <v/>
      </c>
      <c r="H232" s="27" t="str">
        <f t="shared" si="32"/>
        <v/>
      </c>
      <c r="N232" s="7" t="str">
        <f t="shared" si="33"/>
        <v/>
      </c>
      <c r="O232" s="6" t="str">
        <f t="shared" si="34"/>
        <v/>
      </c>
    </row>
    <row r="233" spans="4:15" x14ac:dyDescent="0.25">
      <c r="D233" s="28" t="str">
        <f t="shared" si="28"/>
        <v/>
      </c>
      <c r="E233" s="27" t="str">
        <f t="shared" si="29"/>
        <v/>
      </c>
      <c r="F233" s="27" t="str">
        <f t="shared" si="30"/>
        <v/>
      </c>
      <c r="G233" s="27" t="str">
        <f t="shared" si="31"/>
        <v/>
      </c>
      <c r="H233" s="27" t="str">
        <f t="shared" si="32"/>
        <v/>
      </c>
      <c r="N233" s="7" t="str">
        <f t="shared" si="33"/>
        <v/>
      </c>
      <c r="O233" s="6" t="str">
        <f t="shared" si="34"/>
        <v/>
      </c>
    </row>
    <row r="234" spans="4:15" x14ac:dyDescent="0.25">
      <c r="D234" s="28" t="str">
        <f t="shared" si="28"/>
        <v/>
      </c>
      <c r="E234" s="27" t="str">
        <f t="shared" si="29"/>
        <v/>
      </c>
      <c r="F234" s="27" t="str">
        <f t="shared" si="30"/>
        <v/>
      </c>
      <c r="G234" s="27" t="str">
        <f t="shared" si="31"/>
        <v/>
      </c>
      <c r="H234" s="27" t="str">
        <f t="shared" si="32"/>
        <v/>
      </c>
      <c r="N234" s="7" t="str">
        <f t="shared" si="33"/>
        <v/>
      </c>
      <c r="O234" s="6" t="str">
        <f t="shared" si="34"/>
        <v/>
      </c>
    </row>
    <row r="235" spans="4:15" x14ac:dyDescent="0.25">
      <c r="D235" s="28" t="str">
        <f t="shared" si="28"/>
        <v/>
      </c>
      <c r="E235" s="27" t="str">
        <f t="shared" si="29"/>
        <v/>
      </c>
      <c r="F235" s="27" t="str">
        <f t="shared" si="30"/>
        <v/>
      </c>
      <c r="G235" s="27" t="str">
        <f t="shared" si="31"/>
        <v/>
      </c>
      <c r="H235" s="27" t="str">
        <f t="shared" si="32"/>
        <v/>
      </c>
      <c r="N235" s="7" t="str">
        <f t="shared" si="33"/>
        <v/>
      </c>
      <c r="O235" s="6" t="str">
        <f t="shared" si="34"/>
        <v/>
      </c>
    </row>
    <row r="236" spans="4:15" x14ac:dyDescent="0.25">
      <c r="D236" s="28" t="str">
        <f t="shared" si="28"/>
        <v/>
      </c>
      <c r="E236" s="27" t="str">
        <f t="shared" si="29"/>
        <v/>
      </c>
      <c r="F236" s="27" t="str">
        <f t="shared" si="30"/>
        <v/>
      </c>
      <c r="G236" s="27" t="str">
        <f t="shared" si="31"/>
        <v/>
      </c>
      <c r="H236" s="27" t="str">
        <f t="shared" si="32"/>
        <v/>
      </c>
      <c r="N236" s="7" t="str">
        <f t="shared" si="33"/>
        <v/>
      </c>
      <c r="O236" s="6" t="str">
        <f t="shared" si="34"/>
        <v/>
      </c>
    </row>
    <row r="237" spans="4:15" x14ac:dyDescent="0.25">
      <c r="D237" s="28" t="str">
        <f t="shared" si="28"/>
        <v/>
      </c>
      <c r="E237" s="27" t="str">
        <f t="shared" si="29"/>
        <v/>
      </c>
      <c r="F237" s="27" t="str">
        <f t="shared" si="30"/>
        <v/>
      </c>
      <c r="G237" s="27" t="str">
        <f t="shared" si="31"/>
        <v/>
      </c>
      <c r="H237" s="27" t="str">
        <f t="shared" si="32"/>
        <v/>
      </c>
      <c r="N237" s="7" t="str">
        <f t="shared" si="33"/>
        <v/>
      </c>
      <c r="O237" s="6" t="str">
        <f t="shared" si="34"/>
        <v/>
      </c>
    </row>
    <row r="238" spans="4:15" x14ac:dyDescent="0.25">
      <c r="D238" s="28" t="str">
        <f t="shared" si="28"/>
        <v/>
      </c>
      <c r="E238" s="27" t="str">
        <f t="shared" si="29"/>
        <v/>
      </c>
      <c r="F238" s="27" t="str">
        <f t="shared" si="30"/>
        <v/>
      </c>
      <c r="G238" s="27" t="str">
        <f t="shared" si="31"/>
        <v/>
      </c>
      <c r="H238" s="27" t="str">
        <f t="shared" si="32"/>
        <v/>
      </c>
      <c r="N238" s="7" t="str">
        <f t="shared" si="33"/>
        <v/>
      </c>
      <c r="O238" s="6" t="str">
        <f t="shared" si="34"/>
        <v/>
      </c>
    </row>
    <row r="239" spans="4:15" x14ac:dyDescent="0.25">
      <c r="D239" s="28" t="str">
        <f t="shared" si="28"/>
        <v/>
      </c>
      <c r="E239" s="27" t="str">
        <f t="shared" si="29"/>
        <v/>
      </c>
      <c r="F239" s="27" t="str">
        <f t="shared" si="30"/>
        <v/>
      </c>
      <c r="G239" s="27" t="str">
        <f t="shared" si="31"/>
        <v/>
      </c>
      <c r="H239" s="27" t="str">
        <f t="shared" si="32"/>
        <v/>
      </c>
      <c r="N239" s="7" t="str">
        <f t="shared" si="33"/>
        <v/>
      </c>
      <c r="O239" s="6" t="str">
        <f t="shared" si="34"/>
        <v/>
      </c>
    </row>
    <row r="240" spans="4:15" x14ac:dyDescent="0.25">
      <c r="D240" s="28" t="str">
        <f t="shared" si="28"/>
        <v/>
      </c>
      <c r="E240" s="27" t="str">
        <f t="shared" si="29"/>
        <v/>
      </c>
      <c r="F240" s="27" t="str">
        <f t="shared" si="30"/>
        <v/>
      </c>
      <c r="G240" s="27" t="str">
        <f t="shared" si="31"/>
        <v/>
      </c>
      <c r="H240" s="27" t="str">
        <f t="shared" si="32"/>
        <v/>
      </c>
      <c r="N240" s="7" t="str">
        <f t="shared" si="33"/>
        <v/>
      </c>
      <c r="O240" s="6" t="str">
        <f t="shared" si="34"/>
        <v/>
      </c>
    </row>
    <row r="241" spans="4:15" x14ac:dyDescent="0.25">
      <c r="D241" s="28" t="str">
        <f t="shared" si="28"/>
        <v/>
      </c>
      <c r="E241" s="27" t="str">
        <f t="shared" si="29"/>
        <v/>
      </c>
      <c r="F241" s="27" t="str">
        <f t="shared" si="30"/>
        <v/>
      </c>
      <c r="G241" s="27" t="str">
        <f t="shared" si="31"/>
        <v/>
      </c>
      <c r="H241" s="27" t="str">
        <f t="shared" si="32"/>
        <v/>
      </c>
      <c r="N241" s="7" t="str">
        <f t="shared" si="33"/>
        <v/>
      </c>
      <c r="O241" s="6" t="str">
        <f t="shared" si="34"/>
        <v/>
      </c>
    </row>
    <row r="242" spans="4:15" x14ac:dyDescent="0.25">
      <c r="D242" s="28" t="str">
        <f t="shared" si="28"/>
        <v/>
      </c>
      <c r="E242" s="27" t="str">
        <f t="shared" si="29"/>
        <v/>
      </c>
      <c r="F242" s="27" t="str">
        <f t="shared" si="30"/>
        <v/>
      </c>
      <c r="G242" s="27" t="str">
        <f t="shared" si="31"/>
        <v/>
      </c>
      <c r="H242" s="27" t="str">
        <f t="shared" si="32"/>
        <v/>
      </c>
      <c r="N242" s="7" t="str">
        <f t="shared" si="33"/>
        <v/>
      </c>
      <c r="O242" s="6" t="str">
        <f t="shared" si="34"/>
        <v/>
      </c>
    </row>
    <row r="243" spans="4:15" x14ac:dyDescent="0.25">
      <c r="D243" s="28" t="str">
        <f t="shared" si="28"/>
        <v/>
      </c>
      <c r="E243" s="27" t="str">
        <f t="shared" si="29"/>
        <v/>
      </c>
      <c r="F243" s="27" t="str">
        <f t="shared" si="30"/>
        <v/>
      </c>
      <c r="G243" s="27" t="str">
        <f t="shared" si="31"/>
        <v/>
      </c>
      <c r="H243" s="27" t="str">
        <f t="shared" si="32"/>
        <v/>
      </c>
      <c r="N243" s="7" t="str">
        <f t="shared" si="33"/>
        <v/>
      </c>
      <c r="O243" s="6" t="str">
        <f t="shared" si="34"/>
        <v/>
      </c>
    </row>
    <row r="244" spans="4:15" x14ac:dyDescent="0.25">
      <c r="D244" s="28" t="str">
        <f t="shared" si="28"/>
        <v/>
      </c>
      <c r="E244" s="27" t="str">
        <f t="shared" si="29"/>
        <v/>
      </c>
      <c r="F244" s="27" t="str">
        <f t="shared" si="30"/>
        <v/>
      </c>
      <c r="G244" s="27" t="str">
        <f t="shared" si="31"/>
        <v/>
      </c>
      <c r="H244" s="27" t="str">
        <f t="shared" si="32"/>
        <v/>
      </c>
      <c r="N244" s="7" t="str">
        <f t="shared" si="33"/>
        <v/>
      </c>
      <c r="O244" s="6" t="str">
        <f t="shared" si="34"/>
        <v/>
      </c>
    </row>
    <row r="245" spans="4:15" x14ac:dyDescent="0.25">
      <c r="D245" s="28" t="str">
        <f t="shared" si="28"/>
        <v/>
      </c>
      <c r="E245" s="27" t="str">
        <f t="shared" si="29"/>
        <v/>
      </c>
      <c r="F245" s="27" t="str">
        <f t="shared" si="30"/>
        <v/>
      </c>
      <c r="G245" s="27" t="str">
        <f t="shared" si="31"/>
        <v/>
      </c>
      <c r="H245" s="27" t="str">
        <f t="shared" si="32"/>
        <v/>
      </c>
      <c r="N245" s="7" t="str">
        <f t="shared" si="33"/>
        <v/>
      </c>
      <c r="O245" s="6" t="str">
        <f t="shared" si="34"/>
        <v/>
      </c>
    </row>
    <row r="246" spans="4:15" x14ac:dyDescent="0.25">
      <c r="D246" s="28" t="str">
        <f t="shared" si="28"/>
        <v/>
      </c>
      <c r="E246" s="27" t="str">
        <f t="shared" si="29"/>
        <v/>
      </c>
      <c r="F246" s="27" t="str">
        <f t="shared" si="30"/>
        <v/>
      </c>
      <c r="G246" s="27" t="str">
        <f t="shared" si="31"/>
        <v/>
      </c>
      <c r="H246" s="27" t="str">
        <f t="shared" si="32"/>
        <v/>
      </c>
      <c r="N246" s="7" t="str">
        <f t="shared" si="33"/>
        <v/>
      </c>
      <c r="O246" s="6" t="str">
        <f t="shared" si="34"/>
        <v/>
      </c>
    </row>
    <row r="247" spans="4:15" x14ac:dyDescent="0.25">
      <c r="D247" s="28" t="str">
        <f t="shared" si="28"/>
        <v/>
      </c>
      <c r="E247" s="27" t="str">
        <f t="shared" si="29"/>
        <v/>
      </c>
      <c r="F247" s="27" t="str">
        <f t="shared" si="30"/>
        <v/>
      </c>
      <c r="G247" s="27" t="str">
        <f t="shared" si="31"/>
        <v/>
      </c>
      <c r="H247" s="27" t="str">
        <f t="shared" si="32"/>
        <v/>
      </c>
      <c r="N247" s="7" t="str">
        <f t="shared" si="33"/>
        <v/>
      </c>
      <c r="O247" s="6" t="str">
        <f t="shared" si="34"/>
        <v/>
      </c>
    </row>
    <row r="248" spans="4:15" x14ac:dyDescent="0.25">
      <c r="D248" s="28" t="str">
        <f t="shared" si="28"/>
        <v/>
      </c>
      <c r="E248" s="27" t="str">
        <f t="shared" si="29"/>
        <v/>
      </c>
      <c r="F248" s="27" t="str">
        <f t="shared" si="30"/>
        <v/>
      </c>
      <c r="G248" s="27" t="str">
        <f t="shared" si="31"/>
        <v/>
      </c>
      <c r="H248" s="27" t="str">
        <f t="shared" si="32"/>
        <v/>
      </c>
      <c r="N248" s="7" t="str">
        <f t="shared" si="33"/>
        <v/>
      </c>
      <c r="O248" s="6" t="str">
        <f t="shared" si="34"/>
        <v/>
      </c>
    </row>
    <row r="249" spans="4:15" x14ac:dyDescent="0.25">
      <c r="D249" s="28" t="str">
        <f t="shared" si="28"/>
        <v/>
      </c>
      <c r="E249" s="27" t="str">
        <f t="shared" si="29"/>
        <v/>
      </c>
      <c r="F249" s="27" t="str">
        <f t="shared" si="30"/>
        <v/>
      </c>
      <c r="G249" s="27" t="str">
        <f t="shared" si="31"/>
        <v/>
      </c>
      <c r="H249" s="27" t="str">
        <f t="shared" si="32"/>
        <v/>
      </c>
      <c r="N249" s="7" t="str">
        <f t="shared" si="33"/>
        <v/>
      </c>
      <c r="O249" s="6" t="str">
        <f t="shared" si="34"/>
        <v/>
      </c>
    </row>
    <row r="250" spans="4:15" x14ac:dyDescent="0.25">
      <c r="D250" s="28" t="str">
        <f t="shared" si="28"/>
        <v/>
      </c>
      <c r="E250" s="27" t="str">
        <f t="shared" si="29"/>
        <v/>
      </c>
      <c r="F250" s="27" t="str">
        <f t="shared" si="30"/>
        <v/>
      </c>
      <c r="G250" s="27" t="str">
        <f t="shared" si="31"/>
        <v/>
      </c>
      <c r="H250" s="27" t="str">
        <f t="shared" si="32"/>
        <v/>
      </c>
      <c r="N250" s="7" t="str">
        <f t="shared" si="33"/>
        <v/>
      </c>
      <c r="O250" s="6" t="str">
        <f t="shared" si="34"/>
        <v/>
      </c>
    </row>
    <row r="251" spans="4:15" x14ac:dyDescent="0.25">
      <c r="D251" s="28" t="str">
        <f t="shared" si="28"/>
        <v/>
      </c>
      <c r="E251" s="27" t="str">
        <f t="shared" si="29"/>
        <v/>
      </c>
      <c r="F251" s="27" t="str">
        <f t="shared" si="30"/>
        <v/>
      </c>
      <c r="G251" s="27" t="str">
        <f t="shared" si="31"/>
        <v/>
      </c>
      <c r="H251" s="27" t="str">
        <f t="shared" si="32"/>
        <v/>
      </c>
      <c r="N251" s="7" t="str">
        <f t="shared" si="33"/>
        <v/>
      </c>
      <c r="O251" s="6" t="str">
        <f t="shared" si="34"/>
        <v/>
      </c>
    </row>
    <row r="252" spans="4:15" x14ac:dyDescent="0.25">
      <c r="D252" s="28" t="str">
        <f t="shared" si="28"/>
        <v/>
      </c>
      <c r="E252" s="27" t="str">
        <f t="shared" si="29"/>
        <v/>
      </c>
      <c r="F252" s="27" t="str">
        <f t="shared" si="30"/>
        <v/>
      </c>
      <c r="G252" s="27" t="str">
        <f t="shared" si="31"/>
        <v/>
      </c>
      <c r="H252" s="27" t="str">
        <f t="shared" si="32"/>
        <v/>
      </c>
      <c r="N252" s="7" t="str">
        <f t="shared" si="33"/>
        <v/>
      </c>
      <c r="O252" s="6" t="str">
        <f t="shared" si="34"/>
        <v/>
      </c>
    </row>
    <row r="253" spans="4:15" x14ac:dyDescent="0.25">
      <c r="D253" s="28" t="str">
        <f t="shared" si="28"/>
        <v/>
      </c>
      <c r="E253" s="27" t="str">
        <f t="shared" si="29"/>
        <v/>
      </c>
      <c r="F253" s="27" t="str">
        <f t="shared" si="30"/>
        <v/>
      </c>
      <c r="G253" s="27" t="str">
        <f t="shared" si="31"/>
        <v/>
      </c>
      <c r="H253" s="27" t="str">
        <f t="shared" si="32"/>
        <v/>
      </c>
      <c r="N253" s="7" t="str">
        <f t="shared" si="33"/>
        <v/>
      </c>
      <c r="O253" s="6" t="str">
        <f t="shared" si="34"/>
        <v/>
      </c>
    </row>
    <row r="254" spans="4:15" x14ac:dyDescent="0.25">
      <c r="D254" s="28" t="str">
        <f t="shared" si="28"/>
        <v/>
      </c>
      <c r="E254" s="27" t="str">
        <f t="shared" si="29"/>
        <v/>
      </c>
      <c r="F254" s="27" t="str">
        <f t="shared" si="30"/>
        <v/>
      </c>
      <c r="G254" s="27" t="str">
        <f t="shared" si="31"/>
        <v/>
      </c>
      <c r="H254" s="27" t="str">
        <f t="shared" si="32"/>
        <v/>
      </c>
      <c r="N254" s="7" t="str">
        <f t="shared" si="33"/>
        <v/>
      </c>
      <c r="O254" s="6" t="str">
        <f t="shared" si="34"/>
        <v/>
      </c>
    </row>
    <row r="255" spans="4:15" x14ac:dyDescent="0.25">
      <c r="D255" s="28" t="str">
        <f t="shared" si="28"/>
        <v/>
      </c>
      <c r="E255" s="27" t="str">
        <f t="shared" si="29"/>
        <v/>
      </c>
      <c r="F255" s="27" t="str">
        <f t="shared" si="30"/>
        <v/>
      </c>
      <c r="G255" s="27" t="str">
        <f t="shared" si="31"/>
        <v/>
      </c>
      <c r="H255" s="27" t="str">
        <f t="shared" si="32"/>
        <v/>
      </c>
      <c r="N255" s="7" t="str">
        <f t="shared" si="33"/>
        <v/>
      </c>
      <c r="O255" s="6" t="str">
        <f t="shared" si="34"/>
        <v/>
      </c>
    </row>
    <row r="256" spans="4:15" x14ac:dyDescent="0.25">
      <c r="D256" s="28" t="str">
        <f t="shared" si="28"/>
        <v/>
      </c>
      <c r="E256" s="27" t="str">
        <f t="shared" si="29"/>
        <v/>
      </c>
      <c r="F256" s="27" t="str">
        <f t="shared" si="30"/>
        <v/>
      </c>
      <c r="G256" s="27" t="str">
        <f t="shared" si="31"/>
        <v/>
      </c>
      <c r="H256" s="27" t="str">
        <f t="shared" si="32"/>
        <v/>
      </c>
      <c r="N256" s="7" t="str">
        <f t="shared" si="33"/>
        <v/>
      </c>
      <c r="O256" s="6" t="str">
        <f t="shared" si="34"/>
        <v/>
      </c>
    </row>
    <row r="257" spans="4:15" x14ac:dyDescent="0.25">
      <c r="D257" s="28" t="str">
        <f t="shared" si="28"/>
        <v/>
      </c>
      <c r="E257" s="27" t="str">
        <f t="shared" si="29"/>
        <v/>
      </c>
      <c r="F257" s="27" t="str">
        <f t="shared" si="30"/>
        <v/>
      </c>
      <c r="G257" s="27" t="str">
        <f t="shared" si="31"/>
        <v/>
      </c>
      <c r="H257" s="27" t="str">
        <f t="shared" si="32"/>
        <v/>
      </c>
      <c r="N257" s="7" t="str">
        <f t="shared" si="33"/>
        <v/>
      </c>
      <c r="O257" s="6" t="str">
        <f t="shared" si="34"/>
        <v/>
      </c>
    </row>
    <row r="258" spans="4:15" x14ac:dyDescent="0.25">
      <c r="D258" s="28" t="str">
        <f t="shared" si="28"/>
        <v/>
      </c>
      <c r="E258" s="27" t="str">
        <f t="shared" si="29"/>
        <v/>
      </c>
      <c r="F258" s="27" t="str">
        <f t="shared" si="30"/>
        <v/>
      </c>
      <c r="G258" s="27" t="str">
        <f t="shared" si="31"/>
        <v/>
      </c>
      <c r="H258" s="27" t="str">
        <f t="shared" si="32"/>
        <v/>
      </c>
      <c r="N258" s="7" t="str">
        <f t="shared" si="33"/>
        <v/>
      </c>
      <c r="O258" s="6" t="str">
        <f t="shared" si="34"/>
        <v/>
      </c>
    </row>
    <row r="259" spans="4:15" x14ac:dyDescent="0.25">
      <c r="D259" s="28" t="str">
        <f t="shared" si="28"/>
        <v/>
      </c>
      <c r="E259" s="27" t="str">
        <f t="shared" si="29"/>
        <v/>
      </c>
      <c r="F259" s="27" t="str">
        <f t="shared" si="30"/>
        <v/>
      </c>
      <c r="G259" s="27" t="str">
        <f t="shared" si="31"/>
        <v/>
      </c>
      <c r="H259" s="27" t="str">
        <f t="shared" si="32"/>
        <v/>
      </c>
      <c r="N259" s="7" t="str">
        <f t="shared" si="33"/>
        <v/>
      </c>
      <c r="O259" s="6" t="str">
        <f t="shared" si="34"/>
        <v/>
      </c>
    </row>
    <row r="260" spans="4:15" x14ac:dyDescent="0.25">
      <c r="D260" s="28" t="str">
        <f t="shared" si="28"/>
        <v/>
      </c>
      <c r="E260" s="27" t="str">
        <f t="shared" si="29"/>
        <v/>
      </c>
      <c r="F260" s="27" t="str">
        <f t="shared" si="30"/>
        <v/>
      </c>
      <c r="G260" s="27" t="str">
        <f t="shared" si="31"/>
        <v/>
      </c>
      <c r="H260" s="27" t="str">
        <f t="shared" si="32"/>
        <v/>
      </c>
      <c r="N260" s="7" t="str">
        <f t="shared" si="33"/>
        <v/>
      </c>
      <c r="O260" s="6" t="str">
        <f t="shared" si="34"/>
        <v/>
      </c>
    </row>
    <row r="261" spans="4:15" x14ac:dyDescent="0.25">
      <c r="D261" s="28" t="str">
        <f t="shared" si="28"/>
        <v/>
      </c>
      <c r="E261" s="27" t="str">
        <f t="shared" si="29"/>
        <v/>
      </c>
      <c r="F261" s="27" t="str">
        <f t="shared" si="30"/>
        <v/>
      </c>
      <c r="G261" s="27" t="str">
        <f t="shared" si="31"/>
        <v/>
      </c>
      <c r="H261" s="27" t="str">
        <f t="shared" si="32"/>
        <v/>
      </c>
      <c r="N261" s="7" t="str">
        <f t="shared" si="33"/>
        <v/>
      </c>
      <c r="O261" s="6" t="str">
        <f t="shared" si="34"/>
        <v/>
      </c>
    </row>
    <row r="262" spans="4:15" x14ac:dyDescent="0.25">
      <c r="D262" s="28" t="str">
        <f t="shared" si="28"/>
        <v/>
      </c>
      <c r="E262" s="27" t="str">
        <f t="shared" si="29"/>
        <v/>
      </c>
      <c r="F262" s="27" t="str">
        <f t="shared" si="30"/>
        <v/>
      </c>
      <c r="G262" s="27" t="str">
        <f t="shared" si="31"/>
        <v/>
      </c>
      <c r="H262" s="27" t="str">
        <f t="shared" si="32"/>
        <v/>
      </c>
      <c r="N262" s="7" t="str">
        <f t="shared" si="33"/>
        <v/>
      </c>
      <c r="O262" s="6" t="str">
        <f t="shared" si="34"/>
        <v/>
      </c>
    </row>
    <row r="263" spans="4:15" x14ac:dyDescent="0.25">
      <c r="D263" s="28" t="str">
        <f t="shared" si="28"/>
        <v/>
      </c>
      <c r="E263" s="27" t="str">
        <f t="shared" si="29"/>
        <v/>
      </c>
      <c r="F263" s="27" t="str">
        <f t="shared" si="30"/>
        <v/>
      </c>
      <c r="G263" s="27" t="str">
        <f t="shared" si="31"/>
        <v/>
      </c>
      <c r="H263" s="27" t="str">
        <f t="shared" si="32"/>
        <v/>
      </c>
      <c r="N263" s="7" t="str">
        <f t="shared" si="33"/>
        <v/>
      </c>
      <c r="O263" s="6" t="str">
        <f t="shared" si="34"/>
        <v/>
      </c>
    </row>
    <row r="264" spans="4:15" x14ac:dyDescent="0.25">
      <c r="D264" s="28" t="str">
        <f t="shared" ref="D264:D321" si="35">IF(K264&lt;&gt;"",1+INT((K264-(DATE(YEAR(K264),1,2)-WEEKDAY(DATE(YEAR(K264),1,1))))/7),"")</f>
        <v/>
      </c>
      <c r="E264" s="27" t="str">
        <f t="shared" ref="E264:E321" si="36">IF(K264&lt;&gt;"",TEXT(K264,"ddd"),"")</f>
        <v/>
      </c>
      <c r="F264" s="27" t="str">
        <f t="shared" ref="F264:F321" si="37">IF(K264&lt;&gt;"",MONTH(K264),"")</f>
        <v/>
      </c>
      <c r="G264" s="27" t="str">
        <f t="shared" ref="G264:G321" si="38">IF(K264&lt;&gt;"",DAY(K264),"")</f>
        <v/>
      </c>
      <c r="H264" s="27" t="str">
        <f t="shared" ref="H264:H321" si="39">IF(K264&lt;&gt;"",YEAR(K264),"")</f>
        <v/>
      </c>
      <c r="N264" s="7" t="str">
        <f t="shared" ref="N264:N321" si="40">IF(W264&lt;&gt;"",1+INT((W264-(DATE(YEAR(W264),1,2)-WEEKDAY(DATE(YEAR(W264),1,1))))/7),"")</f>
        <v/>
      </c>
      <c r="O264" s="6" t="str">
        <f t="shared" ref="O264:O321" si="41">IF(W264&lt;&gt;"",TEXT(W264,"ddd"),"")</f>
        <v/>
      </c>
    </row>
    <row r="265" spans="4:15" x14ac:dyDescent="0.25">
      <c r="D265" s="28" t="str">
        <f t="shared" si="35"/>
        <v/>
      </c>
      <c r="E265" s="27" t="str">
        <f t="shared" si="36"/>
        <v/>
      </c>
      <c r="F265" s="27" t="str">
        <f t="shared" si="37"/>
        <v/>
      </c>
      <c r="G265" s="27" t="str">
        <f t="shared" si="38"/>
        <v/>
      </c>
      <c r="H265" s="27" t="str">
        <f t="shared" si="39"/>
        <v/>
      </c>
      <c r="N265" s="7" t="str">
        <f t="shared" si="40"/>
        <v/>
      </c>
      <c r="O265" s="6" t="str">
        <f t="shared" si="41"/>
        <v/>
      </c>
    </row>
    <row r="266" spans="4:15" x14ac:dyDescent="0.25">
      <c r="D266" s="28" t="str">
        <f t="shared" si="35"/>
        <v/>
      </c>
      <c r="E266" s="27" t="str">
        <f t="shared" si="36"/>
        <v/>
      </c>
      <c r="F266" s="27" t="str">
        <f t="shared" si="37"/>
        <v/>
      </c>
      <c r="G266" s="27" t="str">
        <f t="shared" si="38"/>
        <v/>
      </c>
      <c r="H266" s="27" t="str">
        <f t="shared" si="39"/>
        <v/>
      </c>
      <c r="N266" s="7" t="str">
        <f t="shared" si="40"/>
        <v/>
      </c>
      <c r="O266" s="6" t="str">
        <f t="shared" si="41"/>
        <v/>
      </c>
    </row>
    <row r="267" spans="4:15" x14ac:dyDescent="0.25">
      <c r="D267" s="28" t="str">
        <f t="shared" si="35"/>
        <v/>
      </c>
      <c r="E267" s="27" t="str">
        <f t="shared" si="36"/>
        <v/>
      </c>
      <c r="F267" s="27" t="str">
        <f t="shared" si="37"/>
        <v/>
      </c>
      <c r="G267" s="27" t="str">
        <f t="shared" si="38"/>
        <v/>
      </c>
      <c r="H267" s="27" t="str">
        <f t="shared" si="39"/>
        <v/>
      </c>
      <c r="N267" s="7" t="str">
        <f t="shared" si="40"/>
        <v/>
      </c>
      <c r="O267" s="6" t="str">
        <f t="shared" si="41"/>
        <v/>
      </c>
    </row>
    <row r="268" spans="4:15" x14ac:dyDescent="0.25">
      <c r="D268" s="28" t="str">
        <f t="shared" si="35"/>
        <v/>
      </c>
      <c r="E268" s="27" t="str">
        <f t="shared" si="36"/>
        <v/>
      </c>
      <c r="F268" s="27" t="str">
        <f t="shared" si="37"/>
        <v/>
      </c>
      <c r="G268" s="27" t="str">
        <f t="shared" si="38"/>
        <v/>
      </c>
      <c r="H268" s="27" t="str">
        <f t="shared" si="39"/>
        <v/>
      </c>
      <c r="N268" s="7" t="str">
        <f t="shared" si="40"/>
        <v/>
      </c>
      <c r="O268" s="6" t="str">
        <f t="shared" si="41"/>
        <v/>
      </c>
    </row>
    <row r="269" spans="4:15" x14ac:dyDescent="0.25">
      <c r="D269" s="28" t="str">
        <f t="shared" si="35"/>
        <v/>
      </c>
      <c r="E269" s="27" t="str">
        <f t="shared" si="36"/>
        <v/>
      </c>
      <c r="F269" s="27" t="str">
        <f t="shared" si="37"/>
        <v/>
      </c>
      <c r="G269" s="27" t="str">
        <f t="shared" si="38"/>
        <v/>
      </c>
      <c r="H269" s="27" t="str">
        <f t="shared" si="39"/>
        <v/>
      </c>
      <c r="N269" s="7" t="str">
        <f t="shared" si="40"/>
        <v/>
      </c>
      <c r="O269" s="6" t="str">
        <f t="shared" si="41"/>
        <v/>
      </c>
    </row>
    <row r="270" spans="4:15" x14ac:dyDescent="0.25">
      <c r="D270" s="28" t="str">
        <f t="shared" si="35"/>
        <v/>
      </c>
      <c r="E270" s="27" t="str">
        <f t="shared" si="36"/>
        <v/>
      </c>
      <c r="F270" s="27" t="str">
        <f t="shared" si="37"/>
        <v/>
      </c>
      <c r="G270" s="27" t="str">
        <f t="shared" si="38"/>
        <v/>
      </c>
      <c r="H270" s="27" t="str">
        <f t="shared" si="39"/>
        <v/>
      </c>
      <c r="N270" s="7" t="str">
        <f t="shared" si="40"/>
        <v/>
      </c>
      <c r="O270" s="6" t="str">
        <f t="shared" si="41"/>
        <v/>
      </c>
    </row>
    <row r="271" spans="4:15" x14ac:dyDescent="0.25">
      <c r="D271" s="28" t="str">
        <f t="shared" si="35"/>
        <v/>
      </c>
      <c r="E271" s="27" t="str">
        <f t="shared" si="36"/>
        <v/>
      </c>
      <c r="F271" s="27" t="str">
        <f t="shared" si="37"/>
        <v/>
      </c>
      <c r="G271" s="27" t="str">
        <f t="shared" si="38"/>
        <v/>
      </c>
      <c r="H271" s="27" t="str">
        <f t="shared" si="39"/>
        <v/>
      </c>
      <c r="N271" s="7" t="str">
        <f t="shared" si="40"/>
        <v/>
      </c>
      <c r="O271" s="6" t="str">
        <f t="shared" si="41"/>
        <v/>
      </c>
    </row>
    <row r="272" spans="4:15" x14ac:dyDescent="0.25">
      <c r="D272" s="28" t="str">
        <f t="shared" si="35"/>
        <v/>
      </c>
      <c r="E272" s="27" t="str">
        <f t="shared" si="36"/>
        <v/>
      </c>
      <c r="F272" s="27" t="str">
        <f t="shared" si="37"/>
        <v/>
      </c>
      <c r="G272" s="27" t="str">
        <f t="shared" si="38"/>
        <v/>
      </c>
      <c r="H272" s="27" t="str">
        <f t="shared" si="39"/>
        <v/>
      </c>
      <c r="N272" s="7" t="str">
        <f t="shared" si="40"/>
        <v/>
      </c>
      <c r="O272" s="6" t="str">
        <f t="shared" si="41"/>
        <v/>
      </c>
    </row>
    <row r="273" spans="4:15" x14ac:dyDescent="0.25">
      <c r="D273" s="28" t="str">
        <f t="shared" si="35"/>
        <v/>
      </c>
      <c r="E273" s="27" t="str">
        <f t="shared" si="36"/>
        <v/>
      </c>
      <c r="F273" s="27" t="str">
        <f t="shared" si="37"/>
        <v/>
      </c>
      <c r="G273" s="27" t="str">
        <f t="shared" si="38"/>
        <v/>
      </c>
      <c r="H273" s="27" t="str">
        <f t="shared" si="39"/>
        <v/>
      </c>
      <c r="N273" s="7" t="str">
        <f t="shared" si="40"/>
        <v/>
      </c>
      <c r="O273" s="6" t="str">
        <f t="shared" si="41"/>
        <v/>
      </c>
    </row>
    <row r="274" spans="4:15" x14ac:dyDescent="0.25">
      <c r="D274" s="28" t="str">
        <f t="shared" si="35"/>
        <v/>
      </c>
      <c r="E274" s="27" t="str">
        <f t="shared" si="36"/>
        <v/>
      </c>
      <c r="F274" s="27" t="str">
        <f t="shared" si="37"/>
        <v/>
      </c>
      <c r="G274" s="27" t="str">
        <f t="shared" si="38"/>
        <v/>
      </c>
      <c r="H274" s="27" t="str">
        <f t="shared" si="39"/>
        <v/>
      </c>
      <c r="N274" s="7" t="str">
        <f t="shared" si="40"/>
        <v/>
      </c>
      <c r="O274" s="6" t="str">
        <f t="shared" si="41"/>
        <v/>
      </c>
    </row>
    <row r="275" spans="4:15" x14ac:dyDescent="0.25">
      <c r="D275" s="28" t="str">
        <f t="shared" si="35"/>
        <v/>
      </c>
      <c r="E275" s="27" t="str">
        <f t="shared" si="36"/>
        <v/>
      </c>
      <c r="F275" s="27" t="str">
        <f t="shared" si="37"/>
        <v/>
      </c>
      <c r="G275" s="27" t="str">
        <f t="shared" si="38"/>
        <v/>
      </c>
      <c r="H275" s="27" t="str">
        <f t="shared" si="39"/>
        <v/>
      </c>
      <c r="N275" s="7" t="str">
        <f t="shared" si="40"/>
        <v/>
      </c>
      <c r="O275" s="6" t="str">
        <f t="shared" si="41"/>
        <v/>
      </c>
    </row>
    <row r="276" spans="4:15" x14ac:dyDescent="0.25">
      <c r="D276" s="28" t="str">
        <f t="shared" si="35"/>
        <v/>
      </c>
      <c r="E276" s="27" t="str">
        <f t="shared" si="36"/>
        <v/>
      </c>
      <c r="F276" s="27" t="str">
        <f t="shared" si="37"/>
        <v/>
      </c>
      <c r="G276" s="27" t="str">
        <f t="shared" si="38"/>
        <v/>
      </c>
      <c r="H276" s="27" t="str">
        <f t="shared" si="39"/>
        <v/>
      </c>
      <c r="N276" s="7" t="str">
        <f t="shared" si="40"/>
        <v/>
      </c>
      <c r="O276" s="6" t="str">
        <f t="shared" si="41"/>
        <v/>
      </c>
    </row>
    <row r="277" spans="4:15" x14ac:dyDescent="0.25">
      <c r="D277" s="28" t="str">
        <f t="shared" si="35"/>
        <v/>
      </c>
      <c r="E277" s="27" t="str">
        <f t="shared" si="36"/>
        <v/>
      </c>
      <c r="F277" s="27" t="str">
        <f t="shared" si="37"/>
        <v/>
      </c>
      <c r="G277" s="27" t="str">
        <f t="shared" si="38"/>
        <v/>
      </c>
      <c r="H277" s="27" t="str">
        <f t="shared" si="39"/>
        <v/>
      </c>
      <c r="N277" s="7" t="str">
        <f t="shared" si="40"/>
        <v/>
      </c>
      <c r="O277" s="6" t="str">
        <f t="shared" si="41"/>
        <v/>
      </c>
    </row>
    <row r="278" spans="4:15" x14ac:dyDescent="0.25">
      <c r="D278" s="28" t="str">
        <f t="shared" si="35"/>
        <v/>
      </c>
      <c r="E278" s="27" t="str">
        <f t="shared" si="36"/>
        <v/>
      </c>
      <c r="F278" s="27" t="str">
        <f t="shared" si="37"/>
        <v/>
      </c>
      <c r="G278" s="27" t="str">
        <f t="shared" si="38"/>
        <v/>
      </c>
      <c r="H278" s="27" t="str">
        <f t="shared" si="39"/>
        <v/>
      </c>
      <c r="N278" s="7" t="str">
        <f t="shared" si="40"/>
        <v/>
      </c>
      <c r="O278" s="6" t="str">
        <f t="shared" si="41"/>
        <v/>
      </c>
    </row>
    <row r="279" spans="4:15" x14ac:dyDescent="0.25">
      <c r="D279" s="28" t="str">
        <f t="shared" si="35"/>
        <v/>
      </c>
      <c r="E279" s="27" t="str">
        <f t="shared" si="36"/>
        <v/>
      </c>
      <c r="F279" s="27" t="str">
        <f t="shared" si="37"/>
        <v/>
      </c>
      <c r="G279" s="27" t="str">
        <f t="shared" si="38"/>
        <v/>
      </c>
      <c r="H279" s="27" t="str">
        <f t="shared" si="39"/>
        <v/>
      </c>
      <c r="N279" s="7" t="str">
        <f t="shared" si="40"/>
        <v/>
      </c>
      <c r="O279" s="6" t="str">
        <f t="shared" si="41"/>
        <v/>
      </c>
    </row>
    <row r="280" spans="4:15" x14ac:dyDescent="0.25">
      <c r="D280" s="28" t="str">
        <f t="shared" si="35"/>
        <v/>
      </c>
      <c r="E280" s="27" t="str">
        <f t="shared" si="36"/>
        <v/>
      </c>
      <c r="F280" s="27" t="str">
        <f t="shared" si="37"/>
        <v/>
      </c>
      <c r="G280" s="27" t="str">
        <f t="shared" si="38"/>
        <v/>
      </c>
      <c r="H280" s="27" t="str">
        <f t="shared" si="39"/>
        <v/>
      </c>
      <c r="N280" s="7" t="str">
        <f t="shared" si="40"/>
        <v/>
      </c>
      <c r="O280" s="6" t="str">
        <f t="shared" si="41"/>
        <v/>
      </c>
    </row>
    <row r="281" spans="4:15" x14ac:dyDescent="0.25">
      <c r="D281" s="28" t="str">
        <f t="shared" si="35"/>
        <v/>
      </c>
      <c r="E281" s="27" t="str">
        <f t="shared" si="36"/>
        <v/>
      </c>
      <c r="F281" s="27" t="str">
        <f t="shared" si="37"/>
        <v/>
      </c>
      <c r="G281" s="27" t="str">
        <f t="shared" si="38"/>
        <v/>
      </c>
      <c r="H281" s="27" t="str">
        <f t="shared" si="39"/>
        <v/>
      </c>
      <c r="N281" s="7" t="str">
        <f t="shared" si="40"/>
        <v/>
      </c>
      <c r="O281" s="6" t="str">
        <f t="shared" si="41"/>
        <v/>
      </c>
    </row>
    <row r="282" spans="4:15" x14ac:dyDescent="0.25">
      <c r="D282" s="28" t="str">
        <f t="shared" si="35"/>
        <v/>
      </c>
      <c r="E282" s="27" t="str">
        <f t="shared" si="36"/>
        <v/>
      </c>
      <c r="F282" s="27" t="str">
        <f t="shared" si="37"/>
        <v/>
      </c>
      <c r="G282" s="27" t="str">
        <f t="shared" si="38"/>
        <v/>
      </c>
      <c r="H282" s="27" t="str">
        <f t="shared" si="39"/>
        <v/>
      </c>
      <c r="N282" s="7" t="str">
        <f t="shared" si="40"/>
        <v/>
      </c>
      <c r="O282" s="6" t="str">
        <f t="shared" si="41"/>
        <v/>
      </c>
    </row>
    <row r="283" spans="4:15" x14ac:dyDescent="0.25">
      <c r="D283" s="28" t="str">
        <f t="shared" si="35"/>
        <v/>
      </c>
      <c r="E283" s="27" t="str">
        <f t="shared" si="36"/>
        <v/>
      </c>
      <c r="F283" s="27" t="str">
        <f t="shared" si="37"/>
        <v/>
      </c>
      <c r="G283" s="27" t="str">
        <f t="shared" si="38"/>
        <v/>
      </c>
      <c r="H283" s="27" t="str">
        <f t="shared" si="39"/>
        <v/>
      </c>
      <c r="N283" s="7" t="str">
        <f t="shared" si="40"/>
        <v/>
      </c>
      <c r="O283" s="6" t="str">
        <f t="shared" si="41"/>
        <v/>
      </c>
    </row>
    <row r="284" spans="4:15" x14ac:dyDescent="0.25">
      <c r="D284" s="28" t="str">
        <f t="shared" si="35"/>
        <v/>
      </c>
      <c r="E284" s="27" t="str">
        <f t="shared" si="36"/>
        <v/>
      </c>
      <c r="F284" s="27" t="str">
        <f t="shared" si="37"/>
        <v/>
      </c>
      <c r="G284" s="27" t="str">
        <f t="shared" si="38"/>
        <v/>
      </c>
      <c r="H284" s="27" t="str">
        <f t="shared" si="39"/>
        <v/>
      </c>
      <c r="N284" s="7" t="str">
        <f t="shared" si="40"/>
        <v/>
      </c>
      <c r="O284" s="6" t="str">
        <f t="shared" si="41"/>
        <v/>
      </c>
    </row>
    <row r="285" spans="4:15" x14ac:dyDescent="0.25">
      <c r="D285" s="28" t="str">
        <f t="shared" si="35"/>
        <v/>
      </c>
      <c r="E285" s="27" t="str">
        <f t="shared" si="36"/>
        <v/>
      </c>
      <c r="F285" s="27" t="str">
        <f t="shared" si="37"/>
        <v/>
      </c>
      <c r="G285" s="27" t="str">
        <f t="shared" si="38"/>
        <v/>
      </c>
      <c r="H285" s="27" t="str">
        <f t="shared" si="39"/>
        <v/>
      </c>
      <c r="N285" s="7" t="str">
        <f t="shared" si="40"/>
        <v/>
      </c>
      <c r="O285" s="6" t="str">
        <f t="shared" si="41"/>
        <v/>
      </c>
    </row>
    <row r="286" spans="4:15" x14ac:dyDescent="0.25">
      <c r="D286" s="28" t="str">
        <f t="shared" si="35"/>
        <v/>
      </c>
      <c r="E286" s="27" t="str">
        <f t="shared" si="36"/>
        <v/>
      </c>
      <c r="F286" s="27" t="str">
        <f t="shared" si="37"/>
        <v/>
      </c>
      <c r="G286" s="27" t="str">
        <f t="shared" si="38"/>
        <v/>
      </c>
      <c r="H286" s="27" t="str">
        <f t="shared" si="39"/>
        <v/>
      </c>
      <c r="N286" s="7" t="str">
        <f t="shared" si="40"/>
        <v/>
      </c>
      <c r="O286" s="6" t="str">
        <f t="shared" si="41"/>
        <v/>
      </c>
    </row>
    <row r="287" spans="4:15" x14ac:dyDescent="0.25">
      <c r="D287" s="28" t="str">
        <f t="shared" si="35"/>
        <v/>
      </c>
      <c r="E287" s="27" t="str">
        <f t="shared" si="36"/>
        <v/>
      </c>
      <c r="F287" s="27" t="str">
        <f t="shared" si="37"/>
        <v/>
      </c>
      <c r="G287" s="27" t="str">
        <f t="shared" si="38"/>
        <v/>
      </c>
      <c r="H287" s="27" t="str">
        <f t="shared" si="39"/>
        <v/>
      </c>
      <c r="N287" s="7" t="str">
        <f t="shared" si="40"/>
        <v/>
      </c>
      <c r="O287" s="6" t="str">
        <f t="shared" si="41"/>
        <v/>
      </c>
    </row>
    <row r="288" spans="4:15" x14ac:dyDescent="0.25">
      <c r="D288" s="28" t="str">
        <f t="shared" si="35"/>
        <v/>
      </c>
      <c r="E288" s="27" t="str">
        <f t="shared" si="36"/>
        <v/>
      </c>
      <c r="F288" s="27" t="str">
        <f t="shared" si="37"/>
        <v/>
      </c>
      <c r="G288" s="27" t="str">
        <f t="shared" si="38"/>
        <v/>
      </c>
      <c r="H288" s="27" t="str">
        <f t="shared" si="39"/>
        <v/>
      </c>
      <c r="N288" s="7" t="str">
        <f t="shared" si="40"/>
        <v/>
      </c>
      <c r="O288" s="6" t="str">
        <f t="shared" si="41"/>
        <v/>
      </c>
    </row>
    <row r="289" spans="4:15" x14ac:dyDescent="0.25">
      <c r="D289" s="28" t="str">
        <f t="shared" si="35"/>
        <v/>
      </c>
      <c r="E289" s="27" t="str">
        <f t="shared" si="36"/>
        <v/>
      </c>
      <c r="F289" s="27" t="str">
        <f t="shared" si="37"/>
        <v/>
      </c>
      <c r="G289" s="27" t="str">
        <f t="shared" si="38"/>
        <v/>
      </c>
      <c r="H289" s="27" t="str">
        <f t="shared" si="39"/>
        <v/>
      </c>
      <c r="N289" s="7" t="str">
        <f t="shared" si="40"/>
        <v/>
      </c>
      <c r="O289" s="6" t="str">
        <f t="shared" si="41"/>
        <v/>
      </c>
    </row>
    <row r="290" spans="4:15" x14ac:dyDescent="0.25">
      <c r="D290" s="28" t="str">
        <f t="shared" si="35"/>
        <v/>
      </c>
      <c r="E290" s="27" t="str">
        <f t="shared" si="36"/>
        <v/>
      </c>
      <c r="F290" s="27" t="str">
        <f t="shared" si="37"/>
        <v/>
      </c>
      <c r="G290" s="27" t="str">
        <f t="shared" si="38"/>
        <v/>
      </c>
      <c r="H290" s="27" t="str">
        <f t="shared" si="39"/>
        <v/>
      </c>
      <c r="N290" s="7" t="str">
        <f t="shared" si="40"/>
        <v/>
      </c>
      <c r="O290" s="6" t="str">
        <f t="shared" si="41"/>
        <v/>
      </c>
    </row>
    <row r="291" spans="4:15" x14ac:dyDescent="0.25">
      <c r="D291" s="28" t="str">
        <f t="shared" si="35"/>
        <v/>
      </c>
      <c r="E291" s="27" t="str">
        <f t="shared" si="36"/>
        <v/>
      </c>
      <c r="F291" s="27" t="str">
        <f t="shared" si="37"/>
        <v/>
      </c>
      <c r="G291" s="27" t="str">
        <f t="shared" si="38"/>
        <v/>
      </c>
      <c r="H291" s="27" t="str">
        <f t="shared" si="39"/>
        <v/>
      </c>
      <c r="N291" s="7" t="str">
        <f t="shared" si="40"/>
        <v/>
      </c>
      <c r="O291" s="6" t="str">
        <f t="shared" si="41"/>
        <v/>
      </c>
    </row>
    <row r="292" spans="4:15" x14ac:dyDescent="0.25">
      <c r="D292" s="28" t="str">
        <f t="shared" si="35"/>
        <v/>
      </c>
      <c r="E292" s="27" t="str">
        <f t="shared" si="36"/>
        <v/>
      </c>
      <c r="F292" s="27" t="str">
        <f t="shared" si="37"/>
        <v/>
      </c>
      <c r="G292" s="27" t="str">
        <f t="shared" si="38"/>
        <v/>
      </c>
      <c r="H292" s="27" t="str">
        <f t="shared" si="39"/>
        <v/>
      </c>
      <c r="N292" s="7" t="str">
        <f t="shared" si="40"/>
        <v/>
      </c>
      <c r="O292" s="6" t="str">
        <f t="shared" si="41"/>
        <v/>
      </c>
    </row>
    <row r="293" spans="4:15" x14ac:dyDescent="0.25">
      <c r="D293" s="28" t="str">
        <f t="shared" si="35"/>
        <v/>
      </c>
      <c r="E293" s="27" t="str">
        <f t="shared" si="36"/>
        <v/>
      </c>
      <c r="F293" s="27" t="str">
        <f t="shared" si="37"/>
        <v/>
      </c>
      <c r="G293" s="27" t="str">
        <f t="shared" si="38"/>
        <v/>
      </c>
      <c r="H293" s="27" t="str">
        <f t="shared" si="39"/>
        <v/>
      </c>
      <c r="N293" s="7" t="str">
        <f t="shared" si="40"/>
        <v/>
      </c>
      <c r="O293" s="6" t="str">
        <f t="shared" si="41"/>
        <v/>
      </c>
    </row>
    <row r="294" spans="4:15" x14ac:dyDescent="0.25">
      <c r="D294" s="28" t="str">
        <f t="shared" si="35"/>
        <v/>
      </c>
      <c r="E294" s="27" t="str">
        <f t="shared" si="36"/>
        <v/>
      </c>
      <c r="F294" s="27" t="str">
        <f t="shared" si="37"/>
        <v/>
      </c>
      <c r="G294" s="27" t="str">
        <f t="shared" si="38"/>
        <v/>
      </c>
      <c r="H294" s="27" t="str">
        <f t="shared" si="39"/>
        <v/>
      </c>
      <c r="N294" s="7" t="str">
        <f t="shared" si="40"/>
        <v/>
      </c>
      <c r="O294" s="6" t="str">
        <f t="shared" si="41"/>
        <v/>
      </c>
    </row>
    <row r="295" spans="4:15" x14ac:dyDescent="0.25">
      <c r="D295" s="28" t="str">
        <f t="shared" si="35"/>
        <v/>
      </c>
      <c r="E295" s="27" t="str">
        <f t="shared" si="36"/>
        <v/>
      </c>
      <c r="F295" s="27" t="str">
        <f t="shared" si="37"/>
        <v/>
      </c>
      <c r="G295" s="27" t="str">
        <f t="shared" si="38"/>
        <v/>
      </c>
      <c r="H295" s="27" t="str">
        <f t="shared" si="39"/>
        <v/>
      </c>
      <c r="N295" s="7" t="str">
        <f t="shared" si="40"/>
        <v/>
      </c>
      <c r="O295" s="6" t="str">
        <f t="shared" si="41"/>
        <v/>
      </c>
    </row>
    <row r="296" spans="4:15" x14ac:dyDescent="0.25">
      <c r="D296" s="28" t="str">
        <f t="shared" si="35"/>
        <v/>
      </c>
      <c r="E296" s="27" t="str">
        <f t="shared" si="36"/>
        <v/>
      </c>
      <c r="F296" s="27" t="str">
        <f t="shared" si="37"/>
        <v/>
      </c>
      <c r="G296" s="27" t="str">
        <f t="shared" si="38"/>
        <v/>
      </c>
      <c r="H296" s="27" t="str">
        <f t="shared" si="39"/>
        <v/>
      </c>
      <c r="N296" s="7" t="str">
        <f t="shared" si="40"/>
        <v/>
      </c>
      <c r="O296" s="6" t="str">
        <f t="shared" si="41"/>
        <v/>
      </c>
    </row>
    <row r="297" spans="4:15" x14ac:dyDescent="0.25">
      <c r="D297" s="28" t="str">
        <f t="shared" si="35"/>
        <v/>
      </c>
      <c r="E297" s="27" t="str">
        <f t="shared" si="36"/>
        <v/>
      </c>
      <c r="F297" s="27" t="str">
        <f t="shared" si="37"/>
        <v/>
      </c>
      <c r="G297" s="27" t="str">
        <f t="shared" si="38"/>
        <v/>
      </c>
      <c r="H297" s="27" t="str">
        <f t="shared" si="39"/>
        <v/>
      </c>
      <c r="N297" s="7" t="str">
        <f t="shared" si="40"/>
        <v/>
      </c>
      <c r="O297" s="6" t="str">
        <f t="shared" si="41"/>
        <v/>
      </c>
    </row>
    <row r="298" spans="4:15" x14ac:dyDescent="0.25">
      <c r="D298" s="28" t="str">
        <f t="shared" si="35"/>
        <v/>
      </c>
      <c r="E298" s="27" t="str">
        <f t="shared" si="36"/>
        <v/>
      </c>
      <c r="F298" s="27" t="str">
        <f t="shared" si="37"/>
        <v/>
      </c>
      <c r="G298" s="27" t="str">
        <f t="shared" si="38"/>
        <v/>
      </c>
      <c r="H298" s="27" t="str">
        <f t="shared" si="39"/>
        <v/>
      </c>
      <c r="N298" s="7" t="str">
        <f t="shared" si="40"/>
        <v/>
      </c>
      <c r="O298" s="6" t="str">
        <f t="shared" si="41"/>
        <v/>
      </c>
    </row>
    <row r="299" spans="4:15" x14ac:dyDescent="0.25">
      <c r="D299" s="28" t="str">
        <f t="shared" si="35"/>
        <v/>
      </c>
      <c r="E299" s="27" t="str">
        <f t="shared" si="36"/>
        <v/>
      </c>
      <c r="F299" s="27" t="str">
        <f t="shared" si="37"/>
        <v/>
      </c>
      <c r="G299" s="27" t="str">
        <f t="shared" si="38"/>
        <v/>
      </c>
      <c r="H299" s="27" t="str">
        <f t="shared" si="39"/>
        <v/>
      </c>
      <c r="N299" s="7" t="str">
        <f t="shared" si="40"/>
        <v/>
      </c>
      <c r="O299" s="6" t="str">
        <f t="shared" si="41"/>
        <v/>
      </c>
    </row>
    <row r="300" spans="4:15" x14ac:dyDescent="0.25">
      <c r="D300" s="28" t="str">
        <f t="shared" si="35"/>
        <v/>
      </c>
      <c r="E300" s="27" t="str">
        <f t="shared" si="36"/>
        <v/>
      </c>
      <c r="F300" s="27" t="str">
        <f t="shared" si="37"/>
        <v/>
      </c>
      <c r="G300" s="27" t="str">
        <f t="shared" si="38"/>
        <v/>
      </c>
      <c r="H300" s="27" t="str">
        <f t="shared" si="39"/>
        <v/>
      </c>
      <c r="N300" s="7" t="str">
        <f t="shared" si="40"/>
        <v/>
      </c>
      <c r="O300" s="6" t="str">
        <f t="shared" si="41"/>
        <v/>
      </c>
    </row>
    <row r="301" spans="4:15" x14ac:dyDescent="0.25">
      <c r="D301" s="28" t="str">
        <f t="shared" si="35"/>
        <v/>
      </c>
      <c r="E301" s="27" t="str">
        <f t="shared" si="36"/>
        <v/>
      </c>
      <c r="F301" s="27" t="str">
        <f t="shared" si="37"/>
        <v/>
      </c>
      <c r="G301" s="27" t="str">
        <f t="shared" si="38"/>
        <v/>
      </c>
      <c r="H301" s="27" t="str">
        <f t="shared" si="39"/>
        <v/>
      </c>
      <c r="N301" s="7" t="str">
        <f t="shared" si="40"/>
        <v/>
      </c>
      <c r="O301" s="6" t="str">
        <f t="shared" si="41"/>
        <v/>
      </c>
    </row>
    <row r="302" spans="4:15" x14ac:dyDescent="0.25">
      <c r="D302" s="28" t="str">
        <f t="shared" si="35"/>
        <v/>
      </c>
      <c r="E302" s="27" t="str">
        <f t="shared" si="36"/>
        <v/>
      </c>
      <c r="F302" s="27" t="str">
        <f t="shared" si="37"/>
        <v/>
      </c>
      <c r="G302" s="27" t="str">
        <f t="shared" si="38"/>
        <v/>
      </c>
      <c r="H302" s="27" t="str">
        <f t="shared" si="39"/>
        <v/>
      </c>
      <c r="N302" s="7" t="str">
        <f t="shared" si="40"/>
        <v/>
      </c>
      <c r="O302" s="6" t="str">
        <f t="shared" si="41"/>
        <v/>
      </c>
    </row>
    <row r="303" spans="4:15" x14ac:dyDescent="0.25">
      <c r="D303" s="28" t="str">
        <f t="shared" si="35"/>
        <v/>
      </c>
      <c r="E303" s="27" t="str">
        <f t="shared" si="36"/>
        <v/>
      </c>
      <c r="F303" s="27" t="str">
        <f t="shared" si="37"/>
        <v/>
      </c>
      <c r="G303" s="27" t="str">
        <f t="shared" si="38"/>
        <v/>
      </c>
      <c r="H303" s="27" t="str">
        <f t="shared" si="39"/>
        <v/>
      </c>
      <c r="N303" s="7" t="str">
        <f t="shared" si="40"/>
        <v/>
      </c>
      <c r="O303" s="6" t="str">
        <f t="shared" si="41"/>
        <v/>
      </c>
    </row>
    <row r="304" spans="4:15" x14ac:dyDescent="0.25">
      <c r="D304" s="28" t="str">
        <f t="shared" si="35"/>
        <v/>
      </c>
      <c r="E304" s="27" t="str">
        <f t="shared" si="36"/>
        <v/>
      </c>
      <c r="F304" s="27" t="str">
        <f t="shared" si="37"/>
        <v/>
      </c>
      <c r="G304" s="27" t="str">
        <f t="shared" si="38"/>
        <v/>
      </c>
      <c r="H304" s="27" t="str">
        <f t="shared" si="39"/>
        <v/>
      </c>
      <c r="N304" s="7" t="str">
        <f t="shared" si="40"/>
        <v/>
      </c>
      <c r="O304" s="6" t="str">
        <f t="shared" si="41"/>
        <v/>
      </c>
    </row>
    <row r="305" spans="4:15" x14ac:dyDescent="0.25">
      <c r="D305" s="28" t="str">
        <f t="shared" si="35"/>
        <v/>
      </c>
      <c r="E305" s="27" t="str">
        <f t="shared" si="36"/>
        <v/>
      </c>
      <c r="F305" s="27" t="str">
        <f t="shared" si="37"/>
        <v/>
      </c>
      <c r="G305" s="27" t="str">
        <f t="shared" si="38"/>
        <v/>
      </c>
      <c r="H305" s="27" t="str">
        <f t="shared" si="39"/>
        <v/>
      </c>
      <c r="N305" s="7" t="str">
        <f t="shared" si="40"/>
        <v/>
      </c>
      <c r="O305" s="6" t="str">
        <f t="shared" si="41"/>
        <v/>
      </c>
    </row>
    <row r="306" spans="4:15" x14ac:dyDescent="0.25">
      <c r="D306" s="28" t="str">
        <f t="shared" si="35"/>
        <v/>
      </c>
      <c r="E306" s="27" t="str">
        <f t="shared" si="36"/>
        <v/>
      </c>
      <c r="F306" s="27" t="str">
        <f t="shared" si="37"/>
        <v/>
      </c>
      <c r="G306" s="27" t="str">
        <f t="shared" si="38"/>
        <v/>
      </c>
      <c r="H306" s="27" t="str">
        <f t="shared" si="39"/>
        <v/>
      </c>
      <c r="N306" s="7" t="str">
        <f t="shared" si="40"/>
        <v/>
      </c>
      <c r="O306" s="6" t="str">
        <f t="shared" si="41"/>
        <v/>
      </c>
    </row>
    <row r="307" spans="4:15" x14ac:dyDescent="0.25">
      <c r="D307" s="28" t="str">
        <f t="shared" si="35"/>
        <v/>
      </c>
      <c r="E307" s="27" t="str">
        <f t="shared" si="36"/>
        <v/>
      </c>
      <c r="F307" s="27" t="str">
        <f t="shared" si="37"/>
        <v/>
      </c>
      <c r="G307" s="27" t="str">
        <f t="shared" si="38"/>
        <v/>
      </c>
      <c r="H307" s="27" t="str">
        <f t="shared" si="39"/>
        <v/>
      </c>
      <c r="N307" s="7" t="str">
        <f t="shared" si="40"/>
        <v/>
      </c>
      <c r="O307" s="6" t="str">
        <f t="shared" si="41"/>
        <v/>
      </c>
    </row>
    <row r="308" spans="4:15" x14ac:dyDescent="0.25">
      <c r="D308" s="28" t="str">
        <f t="shared" si="35"/>
        <v/>
      </c>
      <c r="E308" s="27" t="str">
        <f t="shared" si="36"/>
        <v/>
      </c>
      <c r="F308" s="27" t="str">
        <f t="shared" si="37"/>
        <v/>
      </c>
      <c r="G308" s="27" t="str">
        <f t="shared" si="38"/>
        <v/>
      </c>
      <c r="H308" s="27" t="str">
        <f t="shared" si="39"/>
        <v/>
      </c>
      <c r="N308" s="7" t="str">
        <f t="shared" si="40"/>
        <v/>
      </c>
      <c r="O308" s="6" t="str">
        <f t="shared" si="41"/>
        <v/>
      </c>
    </row>
    <row r="309" spans="4:15" x14ac:dyDescent="0.25">
      <c r="D309" s="28" t="str">
        <f t="shared" si="35"/>
        <v/>
      </c>
      <c r="E309" s="27" t="str">
        <f t="shared" si="36"/>
        <v/>
      </c>
      <c r="F309" s="27" t="str">
        <f t="shared" si="37"/>
        <v/>
      </c>
      <c r="G309" s="27" t="str">
        <f t="shared" si="38"/>
        <v/>
      </c>
      <c r="H309" s="27" t="str">
        <f t="shared" si="39"/>
        <v/>
      </c>
      <c r="N309" s="7" t="str">
        <f t="shared" si="40"/>
        <v/>
      </c>
      <c r="O309" s="6" t="str">
        <f t="shared" si="41"/>
        <v/>
      </c>
    </row>
    <row r="310" spans="4:15" x14ac:dyDescent="0.25">
      <c r="D310" s="28" t="str">
        <f t="shared" si="35"/>
        <v/>
      </c>
      <c r="E310" s="27" t="str">
        <f t="shared" si="36"/>
        <v/>
      </c>
      <c r="F310" s="27" t="str">
        <f t="shared" si="37"/>
        <v/>
      </c>
      <c r="G310" s="27" t="str">
        <f t="shared" si="38"/>
        <v/>
      </c>
      <c r="H310" s="27" t="str">
        <f t="shared" si="39"/>
        <v/>
      </c>
      <c r="N310" s="7" t="str">
        <f t="shared" si="40"/>
        <v/>
      </c>
      <c r="O310" s="6" t="str">
        <f t="shared" si="41"/>
        <v/>
      </c>
    </row>
    <row r="311" spans="4:15" x14ac:dyDescent="0.25">
      <c r="D311" s="28" t="str">
        <f t="shared" si="35"/>
        <v/>
      </c>
      <c r="E311" s="27" t="str">
        <f t="shared" si="36"/>
        <v/>
      </c>
      <c r="F311" s="27" t="str">
        <f t="shared" si="37"/>
        <v/>
      </c>
      <c r="G311" s="27" t="str">
        <f t="shared" si="38"/>
        <v/>
      </c>
      <c r="H311" s="27" t="str">
        <f t="shared" si="39"/>
        <v/>
      </c>
      <c r="N311" s="7" t="str">
        <f t="shared" si="40"/>
        <v/>
      </c>
      <c r="O311" s="6" t="str">
        <f t="shared" si="41"/>
        <v/>
      </c>
    </row>
    <row r="312" spans="4:15" x14ac:dyDescent="0.25">
      <c r="D312" s="28" t="str">
        <f t="shared" si="35"/>
        <v/>
      </c>
      <c r="E312" s="27" t="str">
        <f t="shared" si="36"/>
        <v/>
      </c>
      <c r="F312" s="27" t="str">
        <f t="shared" si="37"/>
        <v/>
      </c>
      <c r="G312" s="27" t="str">
        <f t="shared" si="38"/>
        <v/>
      </c>
      <c r="H312" s="27" t="str">
        <f t="shared" si="39"/>
        <v/>
      </c>
      <c r="N312" s="7" t="str">
        <f t="shared" si="40"/>
        <v/>
      </c>
      <c r="O312" s="6" t="str">
        <f t="shared" si="41"/>
        <v/>
      </c>
    </row>
    <row r="313" spans="4:15" x14ac:dyDescent="0.25">
      <c r="D313" s="28" t="str">
        <f t="shared" si="35"/>
        <v/>
      </c>
      <c r="E313" s="27" t="str">
        <f t="shared" si="36"/>
        <v/>
      </c>
      <c r="F313" s="27" t="str">
        <f t="shared" si="37"/>
        <v/>
      </c>
      <c r="G313" s="27" t="str">
        <f t="shared" si="38"/>
        <v/>
      </c>
      <c r="H313" s="27" t="str">
        <f t="shared" si="39"/>
        <v/>
      </c>
      <c r="N313" s="7" t="str">
        <f t="shared" si="40"/>
        <v/>
      </c>
      <c r="O313" s="6" t="str">
        <f t="shared" si="41"/>
        <v/>
      </c>
    </row>
    <row r="314" spans="4:15" x14ac:dyDescent="0.25">
      <c r="D314" s="28" t="str">
        <f t="shared" si="35"/>
        <v/>
      </c>
      <c r="E314" s="27" t="str">
        <f t="shared" si="36"/>
        <v/>
      </c>
      <c r="F314" s="27" t="str">
        <f t="shared" si="37"/>
        <v/>
      </c>
      <c r="G314" s="27" t="str">
        <f t="shared" si="38"/>
        <v/>
      </c>
      <c r="H314" s="27" t="str">
        <f t="shared" si="39"/>
        <v/>
      </c>
      <c r="N314" s="7" t="str">
        <f t="shared" si="40"/>
        <v/>
      </c>
      <c r="O314" s="6" t="str">
        <f t="shared" si="41"/>
        <v/>
      </c>
    </row>
    <row r="315" spans="4:15" x14ac:dyDescent="0.25">
      <c r="D315" s="28" t="str">
        <f t="shared" si="35"/>
        <v/>
      </c>
      <c r="E315" s="27" t="str">
        <f t="shared" si="36"/>
        <v/>
      </c>
      <c r="F315" s="27" t="str">
        <f t="shared" si="37"/>
        <v/>
      </c>
      <c r="G315" s="27" t="str">
        <f t="shared" si="38"/>
        <v/>
      </c>
      <c r="H315" s="27" t="str">
        <f t="shared" si="39"/>
        <v/>
      </c>
      <c r="N315" s="7" t="str">
        <f t="shared" si="40"/>
        <v/>
      </c>
      <c r="O315" s="6" t="str">
        <f t="shared" si="41"/>
        <v/>
      </c>
    </row>
    <row r="316" spans="4:15" x14ac:dyDescent="0.25">
      <c r="D316" s="28" t="str">
        <f t="shared" si="35"/>
        <v/>
      </c>
      <c r="E316" s="27" t="str">
        <f t="shared" si="36"/>
        <v/>
      </c>
      <c r="F316" s="27" t="str">
        <f t="shared" si="37"/>
        <v/>
      </c>
      <c r="G316" s="27" t="str">
        <f t="shared" si="38"/>
        <v/>
      </c>
      <c r="H316" s="27" t="str">
        <f t="shared" si="39"/>
        <v/>
      </c>
      <c r="N316" s="7" t="str">
        <f t="shared" si="40"/>
        <v/>
      </c>
      <c r="O316" s="6" t="str">
        <f t="shared" si="41"/>
        <v/>
      </c>
    </row>
    <row r="317" spans="4:15" x14ac:dyDescent="0.25">
      <c r="D317" s="28" t="str">
        <f t="shared" si="35"/>
        <v/>
      </c>
      <c r="E317" s="27" t="str">
        <f t="shared" si="36"/>
        <v/>
      </c>
      <c r="F317" s="27" t="str">
        <f t="shared" si="37"/>
        <v/>
      </c>
      <c r="G317" s="27" t="str">
        <f t="shared" si="38"/>
        <v/>
      </c>
      <c r="H317" s="27" t="str">
        <f t="shared" si="39"/>
        <v/>
      </c>
      <c r="N317" s="7" t="str">
        <f t="shared" si="40"/>
        <v/>
      </c>
      <c r="O317" s="6" t="str">
        <f t="shared" si="41"/>
        <v/>
      </c>
    </row>
    <row r="318" spans="4:15" x14ac:dyDescent="0.25">
      <c r="D318" s="28" t="str">
        <f t="shared" si="35"/>
        <v/>
      </c>
      <c r="E318" s="27" t="str">
        <f t="shared" si="36"/>
        <v/>
      </c>
      <c r="F318" s="27" t="str">
        <f t="shared" si="37"/>
        <v/>
      </c>
      <c r="G318" s="27" t="str">
        <f t="shared" si="38"/>
        <v/>
      </c>
      <c r="H318" s="27" t="str">
        <f t="shared" si="39"/>
        <v/>
      </c>
      <c r="N318" s="7" t="str">
        <f t="shared" si="40"/>
        <v/>
      </c>
      <c r="O318" s="6" t="str">
        <f t="shared" si="41"/>
        <v/>
      </c>
    </row>
    <row r="319" spans="4:15" x14ac:dyDescent="0.25">
      <c r="D319" s="28" t="str">
        <f t="shared" si="35"/>
        <v/>
      </c>
      <c r="E319" s="27" t="str">
        <f t="shared" si="36"/>
        <v/>
      </c>
      <c r="F319" s="27" t="str">
        <f t="shared" si="37"/>
        <v/>
      </c>
      <c r="G319" s="27" t="str">
        <f t="shared" si="38"/>
        <v/>
      </c>
      <c r="H319" s="27" t="str">
        <f t="shared" si="39"/>
        <v/>
      </c>
      <c r="N319" s="7" t="str">
        <f t="shared" si="40"/>
        <v/>
      </c>
      <c r="O319" s="6" t="str">
        <f t="shared" si="41"/>
        <v/>
      </c>
    </row>
    <row r="320" spans="4:15" x14ac:dyDescent="0.25">
      <c r="D320" s="28" t="str">
        <f t="shared" si="35"/>
        <v/>
      </c>
      <c r="E320" s="27" t="str">
        <f t="shared" si="36"/>
        <v/>
      </c>
      <c r="F320" s="27" t="str">
        <f t="shared" si="37"/>
        <v/>
      </c>
      <c r="G320" s="27" t="str">
        <f t="shared" si="38"/>
        <v/>
      </c>
      <c r="H320" s="27" t="str">
        <f t="shared" si="39"/>
        <v/>
      </c>
      <c r="N320" s="7" t="str">
        <f t="shared" si="40"/>
        <v/>
      </c>
      <c r="O320" s="6" t="str">
        <f t="shared" si="41"/>
        <v/>
      </c>
    </row>
    <row r="321" spans="4:15" x14ac:dyDescent="0.25">
      <c r="D321" s="28" t="str">
        <f t="shared" si="35"/>
        <v/>
      </c>
      <c r="E321" s="27" t="str">
        <f t="shared" si="36"/>
        <v/>
      </c>
      <c r="F321" s="27" t="str">
        <f t="shared" si="37"/>
        <v/>
      </c>
      <c r="G321" s="27" t="str">
        <f t="shared" si="38"/>
        <v/>
      </c>
      <c r="H321" s="27" t="str">
        <f t="shared" si="39"/>
        <v/>
      </c>
      <c r="N321" s="7" t="str">
        <f t="shared" si="40"/>
        <v/>
      </c>
      <c r="O321" s="6" t="str">
        <f t="shared" si="41"/>
        <v/>
      </c>
    </row>
  </sheetData>
  <mergeCells count="3">
    <mergeCell ref="K5:L5"/>
    <mergeCell ref="U5:V5"/>
    <mergeCell ref="Z5:AA5"/>
  </mergeCells>
  <phoneticPr fontId="3" type="noConversion"/>
  <pageMargins left="0.75" right="0.75" top="1" bottom="1" header="0.5" footer="0.5"/>
  <headerFooter alignWithMargins="0"/>
  <customProperties>
    <customPr name="ORB_SHEETNAME"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41D-F84B-4E92-A058-FAA0885C3C72}">
  <dimension ref="A1:I73"/>
  <sheetViews>
    <sheetView workbookViewId="0">
      <selection activeCell="B3" sqref="B3"/>
    </sheetView>
  </sheetViews>
  <sheetFormatPr defaultRowHeight="13.2" x14ac:dyDescent="0.25"/>
  <cols>
    <col min="1" max="1" width="13.88671875" customWidth="1"/>
    <col min="2" max="2" width="46.33203125" customWidth="1"/>
    <col min="3" max="3" width="2.109375" style="3" customWidth="1"/>
    <col min="4" max="4" width="10" customWidth="1"/>
    <col min="5" max="5" width="11.6640625" customWidth="1"/>
    <col min="6" max="6" width="8.109375" customWidth="1"/>
    <col min="7" max="7" width="13.44140625" customWidth="1"/>
    <col min="8" max="8" width="13.109375" hidden="1" customWidth="1"/>
    <col min="9" max="9" width="2.109375" style="3" customWidth="1"/>
  </cols>
  <sheetData>
    <row r="1" spans="1:8" x14ac:dyDescent="0.25">
      <c r="A1" t="s">
        <v>0</v>
      </c>
      <c r="B1" t="s">
        <v>1</v>
      </c>
      <c r="D1" s="3"/>
      <c r="E1" s="3"/>
      <c r="F1" s="3"/>
      <c r="G1" s="3"/>
      <c r="H1" s="3"/>
    </row>
    <row r="2" spans="1:8" x14ac:dyDescent="0.25">
      <c r="A2" s="3"/>
      <c r="B2" s="3"/>
      <c r="D2" s="3"/>
      <c r="E2" s="3"/>
      <c r="F2" s="3"/>
      <c r="G2" s="3"/>
      <c r="H2" s="3"/>
    </row>
    <row r="3" spans="1:8" x14ac:dyDescent="0.25">
      <c r="A3" t="s">
        <v>5</v>
      </c>
      <c r="B3" s="4">
        <v>40269</v>
      </c>
      <c r="D3" s="3"/>
      <c r="E3" s="3"/>
      <c r="F3" s="3"/>
      <c r="G3" s="3"/>
      <c r="H3" s="3"/>
    </row>
    <row r="4" spans="1:8" x14ac:dyDescent="0.25">
      <c r="A4" t="s">
        <v>6</v>
      </c>
      <c r="B4" s="4">
        <v>40999</v>
      </c>
      <c r="D4" s="3"/>
      <c r="E4" s="3"/>
      <c r="F4" s="3"/>
      <c r="G4" s="3"/>
      <c r="H4" s="3"/>
    </row>
    <row r="5" spans="1:8" x14ac:dyDescent="0.25">
      <c r="A5" s="3"/>
      <c r="B5" s="3"/>
      <c r="D5" s="3"/>
      <c r="E5" s="3"/>
      <c r="F5" s="3"/>
      <c r="G5" s="3"/>
      <c r="H5" s="3"/>
    </row>
    <row r="6" spans="1:8" x14ac:dyDescent="0.25">
      <c r="A6" s="85" t="s">
        <v>7</v>
      </c>
      <c r="B6" s="85"/>
      <c r="D6" s="2" t="s">
        <v>64</v>
      </c>
      <c r="E6" s="2" t="s">
        <v>65</v>
      </c>
      <c r="F6" s="2" t="s">
        <v>23</v>
      </c>
      <c r="G6" s="2" t="s">
        <v>22</v>
      </c>
      <c r="H6" s="6"/>
    </row>
    <row r="7" spans="1:8" x14ac:dyDescent="0.25">
      <c r="A7" t="s">
        <v>27</v>
      </c>
      <c r="B7" t="s">
        <v>30</v>
      </c>
      <c r="D7">
        <v>0</v>
      </c>
      <c r="E7" s="6">
        <f t="shared" ref="E7:E19" si="0">G7</f>
        <v>40787</v>
      </c>
      <c r="F7">
        <f t="shared" ref="F7:F19" si="1">YEAR(G7)</f>
        <v>2011</v>
      </c>
      <c r="G7" s="47">
        <f>'Traffic Data'!K18</f>
        <v>40787</v>
      </c>
      <c r="H7" s="6"/>
    </row>
    <row r="8" spans="1:8" x14ac:dyDescent="0.25">
      <c r="A8" t="s">
        <v>28</v>
      </c>
      <c r="B8" t="s">
        <v>31</v>
      </c>
      <c r="D8">
        <v>1</v>
      </c>
      <c r="E8" s="6">
        <f t="shared" si="0"/>
        <v>40817</v>
      </c>
      <c r="F8">
        <f t="shared" si="1"/>
        <v>2011</v>
      </c>
      <c r="G8" s="47">
        <f>'Traffic Data'!K19</f>
        <v>40817</v>
      </c>
      <c r="H8" s="6"/>
    </row>
    <row r="9" spans="1:8" x14ac:dyDescent="0.25">
      <c r="A9" t="s">
        <v>28</v>
      </c>
      <c r="B9" t="s">
        <v>32</v>
      </c>
      <c r="D9">
        <v>2</v>
      </c>
      <c r="E9" s="6">
        <f t="shared" si="0"/>
        <v>40848</v>
      </c>
      <c r="F9">
        <f t="shared" si="1"/>
        <v>2011</v>
      </c>
      <c r="G9" s="47">
        <f>'Traffic Data'!K20</f>
        <v>40848</v>
      </c>
      <c r="H9" s="6"/>
    </row>
    <row r="10" spans="1:8" x14ac:dyDescent="0.25">
      <c r="A10" t="s">
        <v>28</v>
      </c>
      <c r="B10" t="s">
        <v>33</v>
      </c>
      <c r="D10">
        <v>3</v>
      </c>
      <c r="E10" s="6">
        <f t="shared" si="0"/>
        <v>40878</v>
      </c>
      <c r="F10">
        <f t="shared" si="1"/>
        <v>2011</v>
      </c>
      <c r="G10" s="47">
        <f>'Traffic Data'!K21</f>
        <v>40878</v>
      </c>
      <c r="H10" s="6"/>
    </row>
    <row r="11" spans="1:8" x14ac:dyDescent="0.25">
      <c r="A11" t="s">
        <v>28</v>
      </c>
      <c r="B11" t="s">
        <v>34</v>
      </c>
      <c r="D11">
        <v>4</v>
      </c>
      <c r="E11" s="6">
        <f t="shared" si="0"/>
        <v>40909</v>
      </c>
      <c r="F11">
        <f t="shared" si="1"/>
        <v>2012</v>
      </c>
      <c r="G11" s="47">
        <f>'Traffic Data'!K22</f>
        <v>40909</v>
      </c>
      <c r="H11" s="6"/>
    </row>
    <row r="12" spans="1:8" x14ac:dyDescent="0.25">
      <c r="A12" t="s">
        <v>48</v>
      </c>
      <c r="B12" t="s">
        <v>49</v>
      </c>
      <c r="D12">
        <v>5</v>
      </c>
      <c r="E12" s="6">
        <f t="shared" si="0"/>
        <v>40940</v>
      </c>
      <c r="F12">
        <f t="shared" si="1"/>
        <v>2012</v>
      </c>
      <c r="G12" s="47">
        <f>'Traffic Data'!K23</f>
        <v>40940</v>
      </c>
      <c r="H12" s="6"/>
    </row>
    <row r="13" spans="1:8" x14ac:dyDescent="0.25">
      <c r="A13" t="s">
        <v>51</v>
      </c>
      <c r="B13" t="s">
        <v>52</v>
      </c>
      <c r="D13">
        <v>6</v>
      </c>
      <c r="E13" s="6">
        <f t="shared" si="0"/>
        <v>40969</v>
      </c>
      <c r="F13">
        <f t="shared" si="1"/>
        <v>2012</v>
      </c>
      <c r="G13" s="47">
        <f>'Traffic Data'!K24</f>
        <v>40969</v>
      </c>
      <c r="H13" s="6"/>
    </row>
    <row r="14" spans="1:8" x14ac:dyDescent="0.25">
      <c r="A14" t="s">
        <v>51</v>
      </c>
      <c r="B14" t="s">
        <v>53</v>
      </c>
      <c r="D14">
        <v>7</v>
      </c>
      <c r="E14" s="6">
        <f t="shared" si="0"/>
        <v>41000</v>
      </c>
      <c r="F14">
        <f t="shared" si="1"/>
        <v>2012</v>
      </c>
      <c r="G14" s="47">
        <f>'Traffic Data'!K25</f>
        <v>41000</v>
      </c>
      <c r="H14" s="6"/>
    </row>
    <row r="15" spans="1:8" x14ac:dyDescent="0.25">
      <c r="A15" t="s">
        <v>51</v>
      </c>
      <c r="B15" t="s">
        <v>54</v>
      </c>
      <c r="D15">
        <v>8</v>
      </c>
      <c r="E15" s="6">
        <f t="shared" si="0"/>
        <v>41030</v>
      </c>
      <c r="F15">
        <f t="shared" si="1"/>
        <v>2012</v>
      </c>
      <c r="G15" s="47">
        <f>'Traffic Data'!K26</f>
        <v>41030</v>
      </c>
      <c r="H15" s="6"/>
    </row>
    <row r="16" spans="1:8" x14ac:dyDescent="0.25">
      <c r="A16" t="s">
        <v>51</v>
      </c>
      <c r="B16" t="s">
        <v>55</v>
      </c>
      <c r="D16">
        <v>9</v>
      </c>
      <c r="E16" s="6">
        <f t="shared" si="0"/>
        <v>41061</v>
      </c>
      <c r="F16">
        <f t="shared" si="1"/>
        <v>2012</v>
      </c>
      <c r="G16" s="47">
        <f>'Traffic Data'!K27</f>
        <v>41061</v>
      </c>
      <c r="H16" s="6"/>
    </row>
    <row r="17" spans="1:8" x14ac:dyDescent="0.25">
      <c r="A17" t="s">
        <v>51</v>
      </c>
      <c r="B17" t="s">
        <v>56</v>
      </c>
      <c r="D17">
        <v>10</v>
      </c>
      <c r="E17" s="6">
        <f t="shared" si="0"/>
        <v>41091</v>
      </c>
      <c r="F17">
        <f t="shared" si="1"/>
        <v>2012</v>
      </c>
      <c r="G17" s="47">
        <f>'Traffic Data'!K28</f>
        <v>41091</v>
      </c>
      <c r="H17" s="6"/>
    </row>
    <row r="18" spans="1:8" x14ac:dyDescent="0.25">
      <c r="D18">
        <v>11</v>
      </c>
      <c r="E18" s="6">
        <f t="shared" si="0"/>
        <v>41122</v>
      </c>
      <c r="F18">
        <f t="shared" si="1"/>
        <v>2012</v>
      </c>
      <c r="G18" s="47">
        <f>'Traffic Data'!K29</f>
        <v>41122</v>
      </c>
      <c r="H18" s="6"/>
    </row>
    <row r="19" spans="1:8" x14ac:dyDescent="0.25">
      <c r="D19">
        <v>12</v>
      </c>
      <c r="E19" s="6">
        <f t="shared" si="0"/>
        <v>41153</v>
      </c>
      <c r="F19">
        <f t="shared" si="1"/>
        <v>2012</v>
      </c>
      <c r="G19" s="47">
        <f>'Traffic Data'!K30</f>
        <v>41153</v>
      </c>
      <c r="H19" s="3"/>
    </row>
    <row r="20" spans="1:8" x14ac:dyDescent="0.25">
      <c r="E20" s="6"/>
      <c r="G20" s="47"/>
      <c r="H20" s="2"/>
    </row>
    <row r="21" spans="1:8" x14ac:dyDescent="0.25">
      <c r="G21" s="46"/>
      <c r="H21" s="19"/>
    </row>
    <row r="22" spans="1:8" x14ac:dyDescent="0.25">
      <c r="G22" s="46"/>
      <c r="H22" s="19"/>
    </row>
    <row r="23" spans="1:8" x14ac:dyDescent="0.25">
      <c r="G23" s="46"/>
      <c r="H23" s="19"/>
    </row>
    <row r="24" spans="1:8" x14ac:dyDescent="0.25">
      <c r="G24" s="46"/>
      <c r="H24" s="19"/>
    </row>
    <row r="25" spans="1:8" x14ac:dyDescent="0.25">
      <c r="G25" s="46"/>
      <c r="H25" s="19"/>
    </row>
    <row r="26" spans="1:8" x14ac:dyDescent="0.25">
      <c r="G26" s="46"/>
      <c r="H26" s="19"/>
    </row>
    <row r="27" spans="1:8" x14ac:dyDescent="0.25">
      <c r="G27" s="46"/>
      <c r="H27" s="19"/>
    </row>
    <row r="28" spans="1:8" x14ac:dyDescent="0.25">
      <c r="G28" s="46"/>
      <c r="H28" s="19"/>
    </row>
    <row r="29" spans="1:8" x14ac:dyDescent="0.25">
      <c r="G29" s="46"/>
      <c r="H29" s="19"/>
    </row>
    <row r="30" spans="1:8" x14ac:dyDescent="0.25">
      <c r="G30" s="46"/>
      <c r="H30" s="19"/>
    </row>
    <row r="31" spans="1:8" x14ac:dyDescent="0.25">
      <c r="H31" s="19"/>
    </row>
    <row r="32" spans="1:8" x14ac:dyDescent="0.25">
      <c r="H32" s="19"/>
    </row>
    <row r="33" spans="8:8" x14ac:dyDescent="0.25">
      <c r="H33" s="19"/>
    </row>
    <row r="34" spans="8:8" x14ac:dyDescent="0.25">
      <c r="H34" s="19"/>
    </row>
    <row r="35" spans="8:8" x14ac:dyDescent="0.25">
      <c r="H35" s="19"/>
    </row>
    <row r="36" spans="8:8" x14ac:dyDescent="0.25">
      <c r="H36" s="19"/>
    </row>
    <row r="37" spans="8:8" x14ac:dyDescent="0.25">
      <c r="H37" s="19"/>
    </row>
    <row r="38" spans="8:8" x14ac:dyDescent="0.25">
      <c r="H38" s="19"/>
    </row>
    <row r="39" spans="8:8" x14ac:dyDescent="0.25">
      <c r="H39" s="19"/>
    </row>
    <row r="40" spans="8:8" x14ac:dyDescent="0.25">
      <c r="H40" s="19"/>
    </row>
    <row r="41" spans="8:8" x14ac:dyDescent="0.25">
      <c r="H41" s="19"/>
    </row>
    <row r="42" spans="8:8" x14ac:dyDescent="0.25">
      <c r="H42" s="19"/>
    </row>
    <row r="43" spans="8:8" x14ac:dyDescent="0.25">
      <c r="H43" s="19"/>
    </row>
    <row r="44" spans="8:8" x14ac:dyDescent="0.25">
      <c r="H44" s="19"/>
    </row>
    <row r="45" spans="8:8" x14ac:dyDescent="0.25">
      <c r="H45" s="19"/>
    </row>
    <row r="46" spans="8:8" x14ac:dyDescent="0.25">
      <c r="H46" s="19"/>
    </row>
    <row r="47" spans="8:8" x14ac:dyDescent="0.25">
      <c r="H47" s="19"/>
    </row>
    <row r="48" spans="8:8" x14ac:dyDescent="0.25">
      <c r="H48" s="19"/>
    </row>
    <row r="49" spans="8:8" x14ac:dyDescent="0.25">
      <c r="H49" s="19"/>
    </row>
    <row r="50" spans="8:8" x14ac:dyDescent="0.25">
      <c r="H50" s="19"/>
    </row>
    <row r="51" spans="8:8" x14ac:dyDescent="0.25">
      <c r="H51" s="19"/>
    </row>
    <row r="52" spans="8:8" x14ac:dyDescent="0.25">
      <c r="H52" s="19"/>
    </row>
    <row r="53" spans="8:8" x14ac:dyDescent="0.25">
      <c r="H53" s="19"/>
    </row>
    <row r="54" spans="8:8" x14ac:dyDescent="0.25">
      <c r="H54" s="19"/>
    </row>
    <row r="55" spans="8:8" x14ac:dyDescent="0.25">
      <c r="H55" s="19"/>
    </row>
    <row r="56" spans="8:8" x14ac:dyDescent="0.25">
      <c r="H56" s="19"/>
    </row>
    <row r="57" spans="8:8" x14ac:dyDescent="0.25">
      <c r="H57" s="19"/>
    </row>
    <row r="58" spans="8:8" x14ac:dyDescent="0.25">
      <c r="H58" s="19"/>
    </row>
    <row r="59" spans="8:8" x14ac:dyDescent="0.25">
      <c r="H59" s="19"/>
    </row>
    <row r="60" spans="8:8" x14ac:dyDescent="0.25">
      <c r="H60" s="19"/>
    </row>
    <row r="61" spans="8:8" x14ac:dyDescent="0.25">
      <c r="H61" s="19"/>
    </row>
    <row r="62" spans="8:8" x14ac:dyDescent="0.25">
      <c r="H62" s="19"/>
    </row>
    <row r="63" spans="8:8" x14ac:dyDescent="0.25">
      <c r="H63" s="19"/>
    </row>
    <row r="64" spans="8:8" x14ac:dyDescent="0.25">
      <c r="H64" s="19"/>
    </row>
    <row r="65" spans="8:8" x14ac:dyDescent="0.25">
      <c r="H65" s="19"/>
    </row>
    <row r="66" spans="8:8" x14ac:dyDescent="0.25">
      <c r="H66" s="19"/>
    </row>
    <row r="67" spans="8:8" x14ac:dyDescent="0.25">
      <c r="H67" s="19"/>
    </row>
    <row r="68" spans="8:8" x14ac:dyDescent="0.25">
      <c r="H68" s="19"/>
    </row>
    <row r="69" spans="8:8" x14ac:dyDescent="0.25">
      <c r="H69" s="19"/>
    </row>
    <row r="70" spans="8:8" x14ac:dyDescent="0.25">
      <c r="H70" s="19"/>
    </row>
    <row r="71" spans="8:8" x14ac:dyDescent="0.25">
      <c r="H71" s="19"/>
    </row>
    <row r="72" spans="8:8" x14ac:dyDescent="0.25">
      <c r="H72" s="19"/>
    </row>
    <row r="73" spans="8:8" x14ac:dyDescent="0.25">
      <c r="H73" s="19"/>
    </row>
  </sheetData>
  <mergeCells count="1">
    <mergeCell ref="A6:B6"/>
  </mergeCells>
  <phoneticPr fontId="3" type="noConversion"/>
  <pageMargins left="0.75" right="0.75" top="1" bottom="1" header="0.5" footer="0.5"/>
  <headerFooter alignWithMargins="0"/>
  <customProperties>
    <customPr name="ORB_ACCOUNTS_1" r:id="rId1"/>
    <customPr name="ORB_ACCOUNTS_2" r:id="rId2"/>
    <customPr name="ORB_ACCOUNTS_3" r:id="rId3"/>
    <customPr name="ORB_SHEETNAME" r:id="rId4"/>
    <customPr name="ORB_V1_00000" r:id="rId5"/>
    <customPr name="ORB_V1_00001" r:id="rId6"/>
    <customPr name="ORB_V1_00002" r:id="rId7"/>
    <customPr name="ORB_V1_00003" r:id="rId8"/>
    <customPr name="RB_WORKBOOK_VERSION" r:id="rId9"/>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D5D6-CB65-47AC-AF1E-E6B14743F49E}">
  <dimension ref="A1:Q53"/>
  <sheetViews>
    <sheetView workbookViewId="0">
      <selection activeCell="D31" sqref="D31"/>
    </sheetView>
  </sheetViews>
  <sheetFormatPr defaultRowHeight="13.2" x14ac:dyDescent="0.25"/>
  <cols>
    <col min="2" max="2" width="11.5546875" customWidth="1"/>
    <col min="3" max="3" width="13.6640625" customWidth="1"/>
    <col min="5" max="5" width="13" customWidth="1"/>
    <col min="6" max="6" width="18.44140625" customWidth="1"/>
    <col min="7" max="7" width="12.5546875" customWidth="1"/>
    <col min="8" max="8" width="13.44140625" customWidth="1"/>
    <col min="12" max="12" width="32.33203125" customWidth="1"/>
    <col min="13" max="13" width="18.5546875" customWidth="1"/>
    <col min="14" max="14" width="21.33203125" customWidth="1"/>
    <col min="15" max="15" width="12.88671875" customWidth="1"/>
    <col min="16" max="16" width="15" customWidth="1"/>
    <col min="17" max="17" width="17.88671875" customWidth="1"/>
  </cols>
  <sheetData>
    <row r="1" spans="1:17" x14ac:dyDescent="0.25">
      <c r="A1" t="s">
        <v>23</v>
      </c>
      <c r="B1" t="s">
        <v>41</v>
      </c>
      <c r="C1" t="s">
        <v>24</v>
      </c>
      <c r="D1" t="s">
        <v>25</v>
      </c>
      <c r="E1" t="s">
        <v>26</v>
      </c>
      <c r="F1" t="s">
        <v>197</v>
      </c>
      <c r="G1" t="s">
        <v>46</v>
      </c>
      <c r="H1" t="s">
        <v>45</v>
      </c>
      <c r="I1" t="s">
        <v>43</v>
      </c>
      <c r="J1" t="s">
        <v>44</v>
      </c>
      <c r="K1" t="s">
        <v>42</v>
      </c>
      <c r="L1" s="33" t="s">
        <v>195</v>
      </c>
      <c r="M1" s="33" t="s">
        <v>191</v>
      </c>
      <c r="N1" s="33" t="s">
        <v>192</v>
      </c>
      <c r="O1" s="33" t="s">
        <v>193</v>
      </c>
      <c r="P1" s="33" t="s">
        <v>194</v>
      </c>
      <c r="Q1" s="33" t="s">
        <v>196</v>
      </c>
    </row>
    <row r="2" spans="1:17" x14ac:dyDescent="0.25">
      <c r="A2">
        <v>2013</v>
      </c>
      <c r="B2" t="s">
        <v>179</v>
      </c>
      <c r="C2" s="8">
        <v>70120</v>
      </c>
      <c r="D2" s="8">
        <v>175300</v>
      </c>
      <c r="E2" s="8">
        <v>946620.00000000012</v>
      </c>
      <c r="F2" s="8">
        <v>75000</v>
      </c>
      <c r="G2" s="8">
        <v>8494</v>
      </c>
      <c r="H2" s="8">
        <v>5787</v>
      </c>
      <c r="I2" s="8">
        <v>1489</v>
      </c>
      <c r="J2" s="8">
        <v>2999</v>
      </c>
      <c r="K2" s="37">
        <v>50000</v>
      </c>
      <c r="L2" s="53">
        <v>0.5</v>
      </c>
      <c r="M2" s="53">
        <v>0.25</v>
      </c>
      <c r="N2" s="53">
        <v>0.05</v>
      </c>
      <c r="O2" s="53">
        <v>0.2</v>
      </c>
      <c r="P2" s="37">
        <v>15000</v>
      </c>
      <c r="Q2" s="54">
        <v>1000</v>
      </c>
    </row>
    <row r="3" spans="1:17" x14ac:dyDescent="0.25">
      <c r="A3">
        <v>2013</v>
      </c>
      <c r="B3" t="s">
        <v>180</v>
      </c>
      <c r="C3" s="8">
        <v>72008</v>
      </c>
      <c r="D3" s="8">
        <v>180020</v>
      </c>
      <c r="E3" s="8">
        <v>1008111.9999999999</v>
      </c>
      <c r="F3" s="8">
        <v>76250</v>
      </c>
      <c r="G3" s="8">
        <v>8615</v>
      </c>
      <c r="H3" s="8">
        <v>5467</v>
      </c>
      <c r="I3" s="8">
        <v>1539</v>
      </c>
      <c r="J3" s="8">
        <v>2890</v>
      </c>
      <c r="K3" s="37">
        <v>56885</v>
      </c>
      <c r="L3" s="53">
        <v>0.51</v>
      </c>
      <c r="M3" s="53">
        <v>0.24</v>
      </c>
      <c r="N3" s="53">
        <v>7.0000000000000007E-2</v>
      </c>
      <c r="O3" s="53">
        <v>0.18</v>
      </c>
      <c r="P3" s="37">
        <v>15000</v>
      </c>
      <c r="Q3" s="54">
        <v>1000</v>
      </c>
    </row>
    <row r="4" spans="1:17" x14ac:dyDescent="0.25">
      <c r="A4">
        <v>2013</v>
      </c>
      <c r="B4" t="s">
        <v>181</v>
      </c>
      <c r="C4" s="8">
        <v>74909</v>
      </c>
      <c r="D4" s="8">
        <v>194763</v>
      </c>
      <c r="E4" s="8">
        <v>1100413</v>
      </c>
      <c r="F4" s="8">
        <v>74000</v>
      </c>
      <c r="G4" s="8">
        <v>8993</v>
      </c>
      <c r="H4" s="8">
        <v>4937</v>
      </c>
      <c r="I4" s="8">
        <v>1513</v>
      </c>
      <c r="J4" s="8">
        <v>3898</v>
      </c>
      <c r="K4" s="37">
        <v>57951</v>
      </c>
      <c r="L4" s="53">
        <v>0.52</v>
      </c>
      <c r="M4" s="53">
        <v>0.24</v>
      </c>
      <c r="N4" s="53">
        <v>7.0000000000000007E-2</v>
      </c>
      <c r="O4" s="53">
        <v>0.17</v>
      </c>
      <c r="P4" s="37">
        <v>15000</v>
      </c>
      <c r="Q4" s="54">
        <v>1000</v>
      </c>
    </row>
    <row r="5" spans="1:17" x14ac:dyDescent="0.25">
      <c r="A5">
        <v>2013</v>
      </c>
      <c r="B5" t="s">
        <v>182</v>
      </c>
      <c r="C5" s="8">
        <v>74099</v>
      </c>
      <c r="D5" s="8">
        <v>192657</v>
      </c>
      <c r="E5" s="8">
        <v>1090440</v>
      </c>
      <c r="F5" s="8">
        <v>76230</v>
      </c>
      <c r="G5" s="8">
        <v>9206</v>
      </c>
      <c r="H5" s="8">
        <v>5803</v>
      </c>
      <c r="I5" s="8">
        <v>1627</v>
      </c>
      <c r="J5" s="8">
        <v>3847</v>
      </c>
      <c r="K5" s="37">
        <v>59845</v>
      </c>
      <c r="L5" s="53">
        <v>0.54</v>
      </c>
      <c r="M5" s="53">
        <v>0.24</v>
      </c>
      <c r="N5" s="53">
        <v>7.0000000000000007E-2</v>
      </c>
      <c r="O5" s="53">
        <v>0.15</v>
      </c>
      <c r="P5" s="37">
        <v>15000</v>
      </c>
      <c r="Q5" s="54">
        <v>1000</v>
      </c>
    </row>
    <row r="6" spans="1:17" x14ac:dyDescent="0.25">
      <c r="A6">
        <v>2013</v>
      </c>
      <c r="B6" t="s">
        <v>183</v>
      </c>
      <c r="C6" s="8">
        <v>76899</v>
      </c>
      <c r="D6" s="8">
        <v>192247</v>
      </c>
      <c r="E6" s="8">
        <v>1057361</v>
      </c>
      <c r="F6" s="8">
        <v>75625</v>
      </c>
      <c r="G6" s="8">
        <v>9195</v>
      </c>
      <c r="H6" s="8">
        <v>4864</v>
      </c>
      <c r="I6" s="8">
        <v>1676</v>
      </c>
      <c r="J6" s="8">
        <v>3849</v>
      </c>
      <c r="K6" s="37">
        <v>60547</v>
      </c>
      <c r="L6" s="53">
        <v>0.52</v>
      </c>
      <c r="M6" s="53">
        <v>0.24</v>
      </c>
      <c r="N6" s="53">
        <v>0.08</v>
      </c>
      <c r="O6" s="53">
        <v>0.16</v>
      </c>
      <c r="P6" s="37">
        <v>20000</v>
      </c>
      <c r="Q6" s="54">
        <v>1000</v>
      </c>
    </row>
    <row r="7" spans="1:17" x14ac:dyDescent="0.25">
      <c r="A7">
        <v>2013</v>
      </c>
      <c r="B7" t="s">
        <v>184</v>
      </c>
      <c r="C7" s="8">
        <v>76788</v>
      </c>
      <c r="D7" s="8">
        <v>184291</v>
      </c>
      <c r="E7" s="8">
        <v>1046774</v>
      </c>
      <c r="F7" s="8">
        <v>71232</v>
      </c>
      <c r="G7" s="8">
        <v>9049</v>
      </c>
      <c r="H7" s="8">
        <v>5987</v>
      </c>
      <c r="I7" s="8">
        <v>1629</v>
      </c>
      <c r="J7" s="8">
        <v>4783</v>
      </c>
      <c r="K7" s="37">
        <v>60957</v>
      </c>
      <c r="L7" s="53">
        <v>0.52</v>
      </c>
      <c r="M7" s="53">
        <v>0.24</v>
      </c>
      <c r="N7" s="53">
        <v>0.08</v>
      </c>
      <c r="O7" s="53">
        <v>0.16</v>
      </c>
      <c r="P7" s="37">
        <v>20000</v>
      </c>
      <c r="Q7" s="54">
        <v>1000</v>
      </c>
    </row>
    <row r="8" spans="1:17" x14ac:dyDescent="0.25">
      <c r="A8">
        <v>2013</v>
      </c>
      <c r="B8" t="s">
        <v>185</v>
      </c>
      <c r="C8" s="8">
        <v>72901</v>
      </c>
      <c r="D8" s="8">
        <v>174962</v>
      </c>
      <c r="E8" s="8">
        <v>1030528</v>
      </c>
      <c r="F8" s="8">
        <v>71325</v>
      </c>
      <c r="G8" s="8">
        <v>8860</v>
      </c>
      <c r="H8" s="8">
        <v>5682</v>
      </c>
      <c r="I8" s="8">
        <v>1620</v>
      </c>
      <c r="J8" s="8">
        <v>4277</v>
      </c>
      <c r="K8" s="37">
        <v>45014</v>
      </c>
      <c r="L8" s="53">
        <v>0.51</v>
      </c>
      <c r="M8" s="53">
        <v>0.24</v>
      </c>
      <c r="N8" s="53">
        <v>0.08</v>
      </c>
      <c r="O8" s="53">
        <v>0.17</v>
      </c>
      <c r="P8" s="37">
        <v>20000</v>
      </c>
      <c r="Q8" s="54">
        <v>1000</v>
      </c>
    </row>
    <row r="9" spans="1:17" x14ac:dyDescent="0.25">
      <c r="A9">
        <v>2013</v>
      </c>
      <c r="B9" t="s">
        <v>186</v>
      </c>
      <c r="C9" s="8">
        <v>72345</v>
      </c>
      <c r="D9" s="8">
        <v>166393</v>
      </c>
      <c r="E9" s="8">
        <v>851934</v>
      </c>
      <c r="F9" s="8">
        <v>70200</v>
      </c>
      <c r="G9" s="8">
        <v>8687</v>
      </c>
      <c r="H9" s="8">
        <v>4708</v>
      </c>
      <c r="I9" s="8">
        <v>1616</v>
      </c>
      <c r="J9" s="8">
        <v>4345</v>
      </c>
      <c r="K9" s="37">
        <v>45824</v>
      </c>
      <c r="L9" s="53">
        <v>0.5</v>
      </c>
      <c r="M9" s="53">
        <v>0.23</v>
      </c>
      <c r="N9" s="53">
        <v>0.09</v>
      </c>
      <c r="O9" s="53">
        <v>0.18</v>
      </c>
      <c r="P9" s="37">
        <v>25000</v>
      </c>
      <c r="Q9" s="54">
        <v>1000</v>
      </c>
    </row>
    <row r="10" spans="1:17" x14ac:dyDescent="0.25">
      <c r="A10">
        <v>2013</v>
      </c>
      <c r="B10" t="s">
        <v>187</v>
      </c>
      <c r="C10" s="8">
        <v>76900</v>
      </c>
      <c r="D10" s="8">
        <v>169180</v>
      </c>
      <c r="E10" s="8">
        <v>976168</v>
      </c>
      <c r="F10" s="8">
        <v>69250</v>
      </c>
      <c r="G10" s="8">
        <v>8833</v>
      </c>
      <c r="H10" s="8">
        <v>2241</v>
      </c>
      <c r="I10" s="8">
        <v>1726</v>
      </c>
      <c r="J10" s="8">
        <v>4567</v>
      </c>
      <c r="K10" s="37">
        <v>57457</v>
      </c>
      <c r="L10" s="53">
        <v>0.49</v>
      </c>
      <c r="M10" s="53">
        <v>0.23</v>
      </c>
      <c r="N10" s="53">
        <v>0.09</v>
      </c>
      <c r="O10" s="53">
        <v>0.19</v>
      </c>
      <c r="P10" s="37">
        <v>25000</v>
      </c>
      <c r="Q10" s="54">
        <v>1000</v>
      </c>
    </row>
    <row r="11" spans="1:17" x14ac:dyDescent="0.25">
      <c r="A11">
        <v>2013</v>
      </c>
      <c r="B11" t="s">
        <v>188</v>
      </c>
      <c r="C11" s="8">
        <v>77123</v>
      </c>
      <c r="D11" s="8">
        <v>208232</v>
      </c>
      <c r="E11" s="8">
        <v>1247310</v>
      </c>
      <c r="F11" s="8">
        <v>68956</v>
      </c>
      <c r="G11" s="8">
        <v>9018</v>
      </c>
      <c r="H11" s="8">
        <v>4524</v>
      </c>
      <c r="I11" s="8">
        <v>859</v>
      </c>
      <c r="J11" s="8">
        <v>5676</v>
      </c>
      <c r="K11" s="37">
        <v>61598</v>
      </c>
      <c r="L11" s="53">
        <v>0.49</v>
      </c>
      <c r="M11" s="53">
        <v>0.22</v>
      </c>
      <c r="N11" s="53">
        <v>0.09</v>
      </c>
      <c r="O11" s="53">
        <v>0.2</v>
      </c>
      <c r="P11" s="37">
        <v>25000</v>
      </c>
      <c r="Q11" s="54">
        <v>1000</v>
      </c>
    </row>
    <row r="12" spans="1:17" x14ac:dyDescent="0.25">
      <c r="A12">
        <v>2013</v>
      </c>
      <c r="B12" t="s">
        <v>189</v>
      </c>
      <c r="C12" s="8">
        <v>80588</v>
      </c>
      <c r="D12" s="8">
        <v>217587</v>
      </c>
      <c r="E12" s="8">
        <v>1298997</v>
      </c>
      <c r="F12" s="8">
        <v>69261</v>
      </c>
      <c r="G12" s="8">
        <v>9399</v>
      </c>
      <c r="H12" s="8">
        <v>4059</v>
      </c>
      <c r="I12" s="8">
        <v>2370</v>
      </c>
      <c r="J12" s="8">
        <v>5643</v>
      </c>
      <c r="K12" s="37">
        <v>62489</v>
      </c>
      <c r="L12" s="53">
        <v>0.46</v>
      </c>
      <c r="M12" s="53">
        <v>0.22</v>
      </c>
      <c r="N12" s="53">
        <v>0.11</v>
      </c>
      <c r="O12" s="53">
        <v>0.21</v>
      </c>
      <c r="P12" s="37">
        <v>25000</v>
      </c>
      <c r="Q12" s="54">
        <v>1000</v>
      </c>
    </row>
    <row r="13" spans="1:17" x14ac:dyDescent="0.25">
      <c r="A13">
        <v>2013</v>
      </c>
      <c r="B13" t="s">
        <v>190</v>
      </c>
      <c r="C13" s="8">
        <v>85332</v>
      </c>
      <c r="D13" s="8">
        <v>238929</v>
      </c>
      <c r="E13" s="8">
        <v>1402516</v>
      </c>
      <c r="F13" s="8">
        <v>66592</v>
      </c>
      <c r="G13" s="8">
        <v>10048</v>
      </c>
      <c r="H13" s="8">
        <v>3345</v>
      </c>
      <c r="I13" s="8">
        <v>2710</v>
      </c>
      <c r="J13" s="8">
        <v>6786</v>
      </c>
      <c r="K13" s="37">
        <v>81039</v>
      </c>
      <c r="L13" s="53">
        <v>0.47</v>
      </c>
      <c r="M13" s="53">
        <v>0.22</v>
      </c>
      <c r="N13" s="53">
        <v>0.11</v>
      </c>
      <c r="O13" s="53">
        <v>0.2</v>
      </c>
      <c r="P13" s="37">
        <v>30000</v>
      </c>
      <c r="Q13" s="54">
        <v>1000</v>
      </c>
    </row>
    <row r="14" spans="1:17" x14ac:dyDescent="0.25">
      <c r="A14">
        <v>2014</v>
      </c>
      <c r="B14" t="s">
        <v>179</v>
      </c>
      <c r="C14" s="8">
        <v>71122</v>
      </c>
      <c r="D14" s="8">
        <v>177805</v>
      </c>
      <c r="E14" s="8">
        <v>1011710</v>
      </c>
      <c r="F14" s="8">
        <v>60260</v>
      </c>
      <c r="G14" s="8">
        <v>9260</v>
      </c>
      <c r="H14" s="8">
        <v>4191</v>
      </c>
      <c r="I14" s="8">
        <v>2023</v>
      </c>
      <c r="J14" s="8">
        <v>4534</v>
      </c>
      <c r="K14" s="37">
        <v>62457</v>
      </c>
      <c r="L14" s="53">
        <v>0.48</v>
      </c>
      <c r="M14" s="53">
        <v>0.21</v>
      </c>
      <c r="N14" s="53">
        <v>0.12</v>
      </c>
      <c r="O14" s="53">
        <v>0.19</v>
      </c>
      <c r="P14" s="37">
        <v>30000</v>
      </c>
      <c r="Q14" s="54">
        <v>1500</v>
      </c>
    </row>
    <row r="15" spans="1:17" x14ac:dyDescent="0.25">
      <c r="A15">
        <v>2014</v>
      </c>
      <c r="B15" t="s">
        <v>180</v>
      </c>
      <c r="C15" s="8">
        <v>71348</v>
      </c>
      <c r="D15" s="8">
        <v>171235</v>
      </c>
      <c r="E15" s="8">
        <v>910971</v>
      </c>
      <c r="F15" s="8">
        <v>61542</v>
      </c>
      <c r="G15" s="8">
        <v>10066</v>
      </c>
      <c r="H15" s="8">
        <v>6149</v>
      </c>
      <c r="I15" s="8">
        <v>2026</v>
      </c>
      <c r="J15" s="8">
        <v>4567</v>
      </c>
      <c r="K15" s="37">
        <v>61547</v>
      </c>
      <c r="L15" s="53">
        <v>0.51</v>
      </c>
      <c r="M15" s="53">
        <v>0.19</v>
      </c>
      <c r="N15" s="53">
        <v>0.13</v>
      </c>
      <c r="O15" s="53">
        <v>0.17</v>
      </c>
      <c r="P15" s="37">
        <v>30000</v>
      </c>
      <c r="Q15" s="54">
        <v>1500</v>
      </c>
    </row>
    <row r="16" spans="1:17" x14ac:dyDescent="0.25">
      <c r="A16">
        <v>2014</v>
      </c>
      <c r="B16" t="s">
        <v>181</v>
      </c>
      <c r="C16" s="8">
        <v>72876</v>
      </c>
      <c r="D16" s="8">
        <v>189477</v>
      </c>
      <c r="E16" s="8">
        <v>1055390</v>
      </c>
      <c r="F16" s="8">
        <v>62000</v>
      </c>
      <c r="G16" s="8">
        <v>10741</v>
      </c>
      <c r="H16" s="8">
        <v>4885</v>
      </c>
      <c r="I16" s="8">
        <v>2242</v>
      </c>
      <c r="J16" s="8">
        <v>5643</v>
      </c>
      <c r="K16" s="37">
        <v>76839</v>
      </c>
      <c r="L16" s="53">
        <v>0.51</v>
      </c>
      <c r="M16" s="53">
        <v>0.19</v>
      </c>
      <c r="N16" s="53">
        <v>0.14000000000000001</v>
      </c>
      <c r="O16" s="53">
        <v>0.16</v>
      </c>
      <c r="P16" s="37">
        <v>30000</v>
      </c>
      <c r="Q16" s="54">
        <v>1500</v>
      </c>
    </row>
    <row r="17" spans="1:17" x14ac:dyDescent="0.25">
      <c r="A17">
        <v>2014</v>
      </c>
      <c r="B17" t="s">
        <v>182</v>
      </c>
      <c r="C17" s="8">
        <v>73101</v>
      </c>
      <c r="D17" s="8">
        <v>197372</v>
      </c>
      <c r="E17" s="8">
        <v>1158577</v>
      </c>
      <c r="F17" s="8">
        <v>60222</v>
      </c>
      <c r="G17" s="8">
        <v>10017</v>
      </c>
      <c r="H17" s="8">
        <v>9551</v>
      </c>
      <c r="I17" s="8">
        <v>2456</v>
      </c>
      <c r="J17" s="8">
        <v>5231</v>
      </c>
      <c r="K17" s="37">
        <v>72547</v>
      </c>
      <c r="L17" s="53">
        <v>0.51</v>
      </c>
      <c r="M17" s="53">
        <v>0.18</v>
      </c>
      <c r="N17" s="53">
        <v>0.15</v>
      </c>
      <c r="O17" s="53">
        <v>0.16</v>
      </c>
      <c r="P17" s="37">
        <v>30000</v>
      </c>
      <c r="Q17" s="54">
        <v>1500</v>
      </c>
    </row>
    <row r="18" spans="1:17" x14ac:dyDescent="0.25">
      <c r="A18">
        <v>2014</v>
      </c>
      <c r="B18" t="s">
        <v>183</v>
      </c>
      <c r="C18" s="8">
        <v>74899</v>
      </c>
      <c r="D18" s="8">
        <v>209717</v>
      </c>
      <c r="E18" s="8">
        <v>1258303</v>
      </c>
      <c r="F18" s="8">
        <v>59261</v>
      </c>
      <c r="G18" s="8">
        <v>10413</v>
      </c>
      <c r="H18" s="8">
        <v>6036</v>
      </c>
      <c r="I18" s="8">
        <v>2524</v>
      </c>
      <c r="J18" s="8">
        <v>5345</v>
      </c>
      <c r="K18" s="37">
        <v>73689</v>
      </c>
      <c r="L18" s="53">
        <v>0.52</v>
      </c>
      <c r="M18" s="53">
        <v>0.17</v>
      </c>
      <c r="N18" s="53">
        <v>0.15</v>
      </c>
      <c r="O18" s="53">
        <v>0.16</v>
      </c>
      <c r="P18" s="37">
        <v>30000</v>
      </c>
      <c r="Q18" s="54">
        <v>1500</v>
      </c>
    </row>
    <row r="19" spans="1:17" x14ac:dyDescent="0.25">
      <c r="A19">
        <v>2014</v>
      </c>
      <c r="B19" t="s">
        <v>184</v>
      </c>
      <c r="C19" s="8">
        <v>74898</v>
      </c>
      <c r="D19" s="8">
        <v>217204</v>
      </c>
      <c r="E19" s="8">
        <v>1324945</v>
      </c>
      <c r="F19" s="8">
        <v>58659</v>
      </c>
      <c r="G19" s="8">
        <v>11662</v>
      </c>
      <c r="H19" s="8">
        <v>7125</v>
      </c>
      <c r="I19" s="8">
        <v>2665</v>
      </c>
      <c r="J19" s="8">
        <v>5236</v>
      </c>
      <c r="K19" s="37">
        <v>72548</v>
      </c>
      <c r="L19" s="53">
        <v>0.52</v>
      </c>
      <c r="M19" s="53">
        <v>0.17</v>
      </c>
      <c r="N19" s="53">
        <v>0.15</v>
      </c>
      <c r="O19" s="53">
        <v>0.16</v>
      </c>
      <c r="P19" s="37">
        <v>30000</v>
      </c>
      <c r="Q19" s="54">
        <v>1500</v>
      </c>
    </row>
    <row r="20" spans="1:17" x14ac:dyDescent="0.25">
      <c r="A20">
        <v>2014</v>
      </c>
      <c r="B20" t="s">
        <v>185</v>
      </c>
      <c r="C20" s="8">
        <v>70112</v>
      </c>
      <c r="D20" s="8">
        <v>203324</v>
      </c>
      <c r="E20" s="8">
        <v>1260613</v>
      </c>
      <c r="F20" s="8">
        <v>58696</v>
      </c>
      <c r="G20" s="8">
        <v>11256</v>
      </c>
      <c r="H20" s="8">
        <v>8039</v>
      </c>
      <c r="I20" s="8">
        <v>2472</v>
      </c>
      <c r="J20" s="8">
        <v>4675</v>
      </c>
      <c r="K20" s="37">
        <v>60245</v>
      </c>
      <c r="L20" s="53">
        <v>0.53</v>
      </c>
      <c r="M20" s="53">
        <v>0.17</v>
      </c>
      <c r="N20" s="53">
        <v>0.15</v>
      </c>
      <c r="O20" s="53">
        <v>0.15</v>
      </c>
      <c r="P20" s="37">
        <v>30000</v>
      </c>
      <c r="Q20" s="54">
        <v>1500</v>
      </c>
    </row>
    <row r="21" spans="1:17" x14ac:dyDescent="0.25">
      <c r="A21">
        <v>2014</v>
      </c>
      <c r="B21" t="s">
        <v>186</v>
      </c>
      <c r="C21" s="8">
        <v>70013</v>
      </c>
      <c r="D21" s="8">
        <v>203037</v>
      </c>
      <c r="E21" s="8">
        <v>1299441</v>
      </c>
      <c r="F21" s="8">
        <v>57696</v>
      </c>
      <c r="G21" s="8">
        <v>11209</v>
      </c>
      <c r="H21" s="8">
        <v>6802</v>
      </c>
      <c r="I21" s="8">
        <v>2565</v>
      </c>
      <c r="J21" s="8">
        <v>4536</v>
      </c>
      <c r="K21" s="37">
        <v>60254</v>
      </c>
      <c r="L21" s="53">
        <v>0.53</v>
      </c>
      <c r="M21" s="53">
        <v>0.17</v>
      </c>
      <c r="N21" s="53">
        <v>0.15</v>
      </c>
      <c r="O21" s="53">
        <v>0.15</v>
      </c>
      <c r="P21" s="37">
        <v>35000</v>
      </c>
      <c r="Q21" s="54">
        <v>1500</v>
      </c>
    </row>
    <row r="22" spans="1:17" x14ac:dyDescent="0.25">
      <c r="A22">
        <v>2014</v>
      </c>
      <c r="B22" t="s">
        <v>187</v>
      </c>
      <c r="C22" s="8">
        <v>79003</v>
      </c>
      <c r="D22" s="8">
        <v>233058</v>
      </c>
      <c r="E22" s="8">
        <v>1491576</v>
      </c>
      <c r="F22" s="8">
        <v>56598</v>
      </c>
      <c r="G22" s="8">
        <v>12171</v>
      </c>
      <c r="H22" s="8">
        <v>6314</v>
      </c>
      <c r="I22" s="8">
        <v>2951</v>
      </c>
      <c r="J22" s="8">
        <v>6746</v>
      </c>
      <c r="K22" s="37">
        <v>80939</v>
      </c>
      <c r="L22" s="53">
        <v>0.53</v>
      </c>
      <c r="M22" s="53">
        <v>0.17</v>
      </c>
      <c r="N22" s="53">
        <v>0.15</v>
      </c>
      <c r="O22" s="53">
        <v>0.15</v>
      </c>
      <c r="P22" s="37">
        <v>35000</v>
      </c>
      <c r="Q22" s="54">
        <v>1500</v>
      </c>
    </row>
    <row r="23" spans="1:17" x14ac:dyDescent="0.25">
      <c r="A23">
        <v>2014</v>
      </c>
      <c r="B23" t="s">
        <v>188</v>
      </c>
      <c r="C23" s="8">
        <v>80364</v>
      </c>
      <c r="D23" s="8">
        <v>239484</v>
      </c>
      <c r="E23" s="8">
        <v>1556650</v>
      </c>
      <c r="F23" s="8">
        <v>55968</v>
      </c>
      <c r="G23" s="8">
        <v>12423</v>
      </c>
      <c r="H23" s="8">
        <v>5813</v>
      </c>
      <c r="I23" s="8">
        <v>3227</v>
      </c>
      <c r="J23" s="8">
        <v>6545</v>
      </c>
      <c r="K23" s="37">
        <v>86458</v>
      </c>
      <c r="L23" s="53">
        <v>0.53</v>
      </c>
      <c r="M23" s="53">
        <v>0.17</v>
      </c>
      <c r="N23" s="53">
        <v>0.15</v>
      </c>
      <c r="O23" s="53">
        <v>0.15</v>
      </c>
      <c r="P23" s="37">
        <v>35000</v>
      </c>
      <c r="Q23" s="54">
        <v>1500</v>
      </c>
    </row>
    <row r="24" spans="1:17" x14ac:dyDescent="0.25">
      <c r="A24">
        <v>2014</v>
      </c>
      <c r="B24" t="s">
        <v>189</v>
      </c>
      <c r="C24" s="8">
        <v>84909</v>
      </c>
      <c r="D24" s="8">
        <v>253877</v>
      </c>
      <c r="E24" s="8">
        <v>1665439</v>
      </c>
      <c r="F24" s="8">
        <v>58264</v>
      </c>
      <c r="G24" s="8">
        <v>13933</v>
      </c>
      <c r="H24" s="8">
        <v>5751</v>
      </c>
      <c r="I24" s="8">
        <v>3449</v>
      </c>
      <c r="J24" s="8">
        <v>6579</v>
      </c>
      <c r="K24" s="37">
        <v>91204</v>
      </c>
      <c r="L24" s="53">
        <v>0.53</v>
      </c>
      <c r="M24" s="53">
        <v>0.17</v>
      </c>
      <c r="N24" s="53">
        <v>0.16</v>
      </c>
      <c r="O24" s="53">
        <v>0.15</v>
      </c>
      <c r="P24" s="37">
        <v>35000</v>
      </c>
      <c r="Q24" s="54">
        <v>1500</v>
      </c>
    </row>
    <row r="25" spans="1:17" x14ac:dyDescent="0.25">
      <c r="A25">
        <v>2014</v>
      </c>
      <c r="B25" t="s">
        <v>190</v>
      </c>
      <c r="C25" s="8">
        <v>82901</v>
      </c>
      <c r="D25" s="8">
        <v>247044</v>
      </c>
      <c r="E25" s="8">
        <v>1655201</v>
      </c>
      <c r="F25" s="8">
        <v>59451</v>
      </c>
      <c r="G25" s="8">
        <v>13720</v>
      </c>
      <c r="H25" s="8">
        <v>6204</v>
      </c>
      <c r="I25" s="8">
        <v>3299</v>
      </c>
      <c r="J25" s="8">
        <v>7678</v>
      </c>
      <c r="K25" s="37">
        <v>90458</v>
      </c>
      <c r="L25" s="53">
        <v>0.53</v>
      </c>
      <c r="M25" s="53">
        <v>0.17</v>
      </c>
      <c r="N25" s="53">
        <v>0.16</v>
      </c>
      <c r="O25" s="53">
        <v>0.15</v>
      </c>
      <c r="P25" s="37">
        <v>35000</v>
      </c>
      <c r="Q25" s="54">
        <v>1500</v>
      </c>
    </row>
    <row r="26" spans="1:17" x14ac:dyDescent="0.25">
      <c r="N26" s="8"/>
    </row>
    <row r="27" spans="1:17" x14ac:dyDescent="0.25">
      <c r="N27" s="8"/>
    </row>
    <row r="28" spans="1:17" x14ac:dyDescent="0.25">
      <c r="F28" s="55"/>
      <c r="N28" s="8"/>
    </row>
    <row r="29" spans="1:17" x14ac:dyDescent="0.25">
      <c r="F29" s="55"/>
      <c r="N29" s="8"/>
    </row>
    <row r="30" spans="1:17" x14ac:dyDescent="0.25">
      <c r="F30" s="55"/>
      <c r="N30" s="8"/>
    </row>
    <row r="31" spans="1:17" x14ac:dyDescent="0.25">
      <c r="F31" s="55"/>
      <c r="N31" s="8"/>
    </row>
    <row r="32" spans="1:17" x14ac:dyDescent="0.25">
      <c r="F32" s="55"/>
    </row>
    <row r="33" spans="6:6" x14ac:dyDescent="0.25">
      <c r="F33" s="55"/>
    </row>
    <row r="34" spans="6:6" x14ac:dyDescent="0.25">
      <c r="F34" s="55"/>
    </row>
    <row r="35" spans="6:6" x14ac:dyDescent="0.25">
      <c r="F35" s="55"/>
    </row>
    <row r="36" spans="6:6" x14ac:dyDescent="0.25">
      <c r="F36" s="55"/>
    </row>
    <row r="37" spans="6:6" x14ac:dyDescent="0.25">
      <c r="F37" s="55"/>
    </row>
    <row r="38" spans="6:6" x14ac:dyDescent="0.25">
      <c r="F38" s="55"/>
    </row>
    <row r="39" spans="6:6" x14ac:dyDescent="0.25">
      <c r="F39" s="55"/>
    </row>
    <row r="40" spans="6:6" x14ac:dyDescent="0.25">
      <c r="F40" s="55"/>
    </row>
    <row r="41" spans="6:6" x14ac:dyDescent="0.25">
      <c r="F41" s="55"/>
    </row>
    <row r="42" spans="6:6" x14ac:dyDescent="0.25">
      <c r="F42" s="55"/>
    </row>
    <row r="43" spans="6:6" x14ac:dyDescent="0.25">
      <c r="F43" s="55"/>
    </row>
    <row r="44" spans="6:6" x14ac:dyDescent="0.25">
      <c r="F44" s="55"/>
    </row>
    <row r="45" spans="6:6" x14ac:dyDescent="0.25">
      <c r="F45" s="55"/>
    </row>
    <row r="46" spans="6:6" x14ac:dyDescent="0.25">
      <c r="F46" s="55"/>
    </row>
    <row r="47" spans="6:6" x14ac:dyDescent="0.25">
      <c r="F47" s="55"/>
    </row>
    <row r="48" spans="6:6" x14ac:dyDescent="0.25">
      <c r="F48" s="55"/>
    </row>
    <row r="49" spans="6:6" x14ac:dyDescent="0.25">
      <c r="F49" s="55"/>
    </row>
    <row r="50" spans="6:6" x14ac:dyDescent="0.25">
      <c r="F50" s="55"/>
    </row>
    <row r="51" spans="6:6" x14ac:dyDescent="0.25">
      <c r="F51" s="55"/>
    </row>
    <row r="52" spans="6:6" x14ac:dyDescent="0.25">
      <c r="F52" s="55"/>
    </row>
    <row r="53" spans="6:6" x14ac:dyDescent="0.25">
      <c r="F53" s="5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8E4E2-5E45-46B1-A3F0-CBC6F0DABF97}">
  <dimension ref="A1:Z38"/>
  <sheetViews>
    <sheetView showGridLines="0" showRowColHeaders="0" tabSelected="1" zoomScaleNormal="100" workbookViewId="0">
      <selection activeCell="P39" sqref="P39"/>
    </sheetView>
  </sheetViews>
  <sheetFormatPr defaultRowHeight="13.2" x14ac:dyDescent="0.25"/>
  <cols>
    <col min="3" max="3" width="11.44140625" bestFit="1" customWidth="1"/>
    <col min="10" max="10" width="13.33203125" customWidth="1"/>
    <col min="11" max="11" width="10.44140625" customWidth="1"/>
    <col min="17" max="17" width="27" customWidth="1"/>
    <col min="18" max="18" width="9" customWidth="1"/>
  </cols>
  <sheetData>
    <row r="1" spans="1:26" ht="24.6" customHeight="1" x14ac:dyDescent="0.4">
      <c r="B1" s="108" t="s">
        <v>201</v>
      </c>
      <c r="C1" s="109"/>
      <c r="D1" s="109"/>
      <c r="E1" s="109"/>
      <c r="F1" s="109"/>
      <c r="G1" s="109"/>
      <c r="H1" s="109"/>
      <c r="I1" s="109"/>
      <c r="J1" s="109"/>
      <c r="K1" s="109"/>
      <c r="L1" s="109"/>
      <c r="M1" s="109"/>
      <c r="Q1" s="86" t="s">
        <v>247</v>
      </c>
      <c r="R1" s="86"/>
    </row>
    <row r="2" spans="1:26" ht="13.8" customHeight="1" x14ac:dyDescent="0.25">
      <c r="B2" s="110" t="s">
        <v>198</v>
      </c>
      <c r="C2" s="111"/>
      <c r="D2" s="111"/>
      <c r="E2" s="111"/>
      <c r="F2" s="111"/>
      <c r="G2" s="111"/>
      <c r="H2" s="111"/>
      <c r="I2" s="111"/>
      <c r="J2" s="111"/>
      <c r="K2" s="111"/>
      <c r="L2" s="111"/>
      <c r="M2" s="111"/>
      <c r="Q2" s="59"/>
      <c r="R2" s="59"/>
      <c r="T2" s="92" t="s">
        <v>236</v>
      </c>
      <c r="U2" s="92"/>
      <c r="V2" s="92"/>
    </row>
    <row r="3" spans="1:26" ht="13.8" customHeight="1" x14ac:dyDescent="0.25">
      <c r="B3" s="110" t="s">
        <v>199</v>
      </c>
      <c r="C3" s="112"/>
      <c r="D3" s="112"/>
      <c r="E3" s="112"/>
      <c r="F3" s="112"/>
      <c r="G3" s="112"/>
      <c r="H3" s="112"/>
      <c r="I3" s="112"/>
      <c r="J3" s="112"/>
      <c r="K3" s="112"/>
      <c r="L3" s="112"/>
      <c r="M3" s="112"/>
      <c r="Q3" s="68" t="s">
        <v>225</v>
      </c>
      <c r="R3" s="77">
        <f>SUMIF(Data!A:A,2014,Data!K:K)</f>
        <v>889185</v>
      </c>
      <c r="T3" s="90" t="s">
        <v>242</v>
      </c>
      <c r="U3" s="90"/>
      <c r="V3" s="90"/>
      <c r="W3" s="90"/>
      <c r="X3" s="90"/>
      <c r="Y3" s="90"/>
      <c r="Z3" s="90"/>
    </row>
    <row r="4" spans="1:26" ht="17.399999999999999" x14ac:dyDescent="0.3">
      <c r="B4" s="110" t="s">
        <v>200</v>
      </c>
      <c r="C4" s="113"/>
      <c r="D4" s="113"/>
      <c r="E4" s="113"/>
      <c r="F4" s="113"/>
      <c r="G4" s="113"/>
      <c r="H4" s="113"/>
      <c r="I4" s="113"/>
      <c r="J4" s="113"/>
      <c r="K4" s="113"/>
      <c r="L4" s="113"/>
      <c r="M4" s="113"/>
      <c r="Q4" s="59" t="s">
        <v>226</v>
      </c>
      <c r="R4" s="77">
        <f>SUMIF(Data!A:A,2013,Data!K:K)</f>
        <v>699606</v>
      </c>
      <c r="T4" s="90"/>
      <c r="U4" s="90"/>
      <c r="V4" s="90"/>
      <c r="W4" s="90"/>
      <c r="X4" s="90"/>
      <c r="Y4" s="90"/>
      <c r="Z4" s="90"/>
    </row>
    <row r="5" spans="1:26" x14ac:dyDescent="0.25">
      <c r="Q5" s="59" t="s">
        <v>227</v>
      </c>
      <c r="R5" s="78">
        <f>(R3-R4)/R4</f>
        <v>0.27097966569754978</v>
      </c>
    </row>
    <row r="6" spans="1:26" ht="15.6" x14ac:dyDescent="0.25">
      <c r="A6" s="98" t="s">
        <v>42</v>
      </c>
      <c r="B6" s="114"/>
      <c r="C6" s="114"/>
      <c r="D6" s="98" t="s">
        <v>43</v>
      </c>
      <c r="E6" s="99"/>
      <c r="F6" s="99"/>
      <c r="G6" s="98" t="s">
        <v>202</v>
      </c>
      <c r="H6" s="99"/>
      <c r="I6" s="99"/>
      <c r="J6" s="98" t="s">
        <v>203</v>
      </c>
      <c r="K6" s="99"/>
      <c r="L6" s="99"/>
      <c r="M6" s="98" t="s">
        <v>204</v>
      </c>
      <c r="N6" s="99"/>
      <c r="O6" s="99"/>
      <c r="Q6" s="59"/>
      <c r="R6" s="59"/>
      <c r="T6" s="92" t="s">
        <v>237</v>
      </c>
      <c r="U6" s="92"/>
      <c r="V6" s="92"/>
    </row>
    <row r="7" spans="1:26" ht="24.6" customHeight="1" x14ac:dyDescent="0.25">
      <c r="A7" s="103">
        <f>R3</f>
        <v>889185</v>
      </c>
      <c r="B7" s="104"/>
      <c r="C7" s="104"/>
      <c r="D7" s="106">
        <f>R7</f>
        <v>31899</v>
      </c>
      <c r="E7" s="107"/>
      <c r="F7" s="107"/>
      <c r="G7" s="102">
        <f>R11</f>
        <v>0.23305886564721526</v>
      </c>
      <c r="H7" s="99"/>
      <c r="I7" s="99"/>
      <c r="J7" s="102">
        <f>R12</f>
        <v>0.76694113435278477</v>
      </c>
      <c r="K7" s="99"/>
      <c r="L7" s="99"/>
      <c r="M7" s="100">
        <f>R14</f>
        <v>2.1102542399448256</v>
      </c>
      <c r="N7" s="99"/>
      <c r="O7" s="99"/>
      <c r="Q7" s="59" t="s">
        <v>228</v>
      </c>
      <c r="R7" s="77">
        <f>SUMIF(Data!A:A,2014,Data!I:I)</f>
        <v>31899</v>
      </c>
      <c r="T7" s="91" t="s">
        <v>243</v>
      </c>
      <c r="U7" s="91"/>
      <c r="V7" s="91"/>
      <c r="W7" s="91"/>
      <c r="X7" s="91"/>
      <c r="Y7" s="91"/>
      <c r="Z7" s="91"/>
    </row>
    <row r="8" spans="1:26" x14ac:dyDescent="0.25">
      <c r="A8" s="105">
        <f>R5</f>
        <v>0.27097966569754978</v>
      </c>
      <c r="B8" s="99"/>
      <c r="C8" s="99"/>
      <c r="D8" s="105">
        <f>R9</f>
        <v>0.56567193481888678</v>
      </c>
      <c r="E8" s="99"/>
      <c r="F8" s="99"/>
      <c r="G8" s="101" t="s">
        <v>205</v>
      </c>
      <c r="H8" s="99"/>
      <c r="I8" s="99"/>
      <c r="J8" s="101" t="s">
        <v>234</v>
      </c>
      <c r="K8" s="99"/>
      <c r="L8" s="99"/>
      <c r="M8" s="101" t="s">
        <v>235</v>
      </c>
      <c r="N8" s="99"/>
      <c r="O8" s="99"/>
      <c r="Q8" s="59" t="s">
        <v>229</v>
      </c>
      <c r="R8" s="77">
        <f>SUMIF(Data!A:A,2013,Data!I:I)</f>
        <v>20374</v>
      </c>
      <c r="T8" s="91"/>
      <c r="U8" s="91"/>
      <c r="V8" s="91"/>
      <c r="W8" s="91"/>
      <c r="X8" s="91"/>
      <c r="Y8" s="91"/>
      <c r="Z8" s="91"/>
    </row>
    <row r="9" spans="1:26" x14ac:dyDescent="0.25">
      <c r="Q9" s="59" t="s">
        <v>230</v>
      </c>
      <c r="R9" s="78">
        <f>(R7-R8)/R8</f>
        <v>0.56567193481888678</v>
      </c>
      <c r="T9" s="91"/>
      <c r="U9" s="91"/>
      <c r="V9" s="91"/>
      <c r="W9" s="91"/>
      <c r="X9" s="91"/>
      <c r="Y9" s="91"/>
      <c r="Z9" s="91"/>
    </row>
    <row r="10" spans="1:26" x14ac:dyDescent="0.25">
      <c r="A10" s="97"/>
      <c r="B10" s="97"/>
      <c r="C10" s="97"/>
      <c r="D10" s="97"/>
      <c r="E10" s="97"/>
      <c r="F10" s="97"/>
      <c r="G10" s="97"/>
      <c r="H10" s="97"/>
      <c r="I10" s="97"/>
      <c r="J10" s="97"/>
      <c r="K10" s="97"/>
      <c r="L10" s="97"/>
      <c r="M10" s="97"/>
      <c r="N10" s="97"/>
      <c r="O10" s="97"/>
      <c r="Q10" s="59"/>
      <c r="R10" s="59"/>
      <c r="T10" s="58"/>
      <c r="U10" s="58"/>
      <c r="V10" s="58"/>
      <c r="W10" s="58"/>
      <c r="X10" s="58"/>
      <c r="Y10" s="58"/>
    </row>
    <row r="11" spans="1:26" x14ac:dyDescent="0.25">
      <c r="A11" s="97"/>
      <c r="B11" s="97"/>
      <c r="C11" s="97"/>
      <c r="D11" s="97"/>
      <c r="E11" s="97"/>
      <c r="F11" s="97"/>
      <c r="G11" s="97"/>
      <c r="H11" s="97"/>
      <c r="I11" s="97"/>
      <c r="J11" s="97"/>
      <c r="K11" s="97"/>
      <c r="L11" s="97"/>
      <c r="M11" s="97"/>
      <c r="N11" s="97"/>
      <c r="O11" s="97"/>
      <c r="Q11" s="59" t="s">
        <v>231</v>
      </c>
      <c r="R11" s="78">
        <f>SUMIF(Data!A:A,2014,Data!I:I) / SUMIF(Data!A:A,2014,Data!G:G)</f>
        <v>0.23305886564721526</v>
      </c>
      <c r="T11" s="92" t="s">
        <v>238</v>
      </c>
      <c r="U11" s="92"/>
      <c r="V11" s="92"/>
      <c r="W11" s="92"/>
    </row>
    <row r="12" spans="1:26" ht="13.2" customHeight="1" x14ac:dyDescent="0.25">
      <c r="A12" s="97"/>
      <c r="B12" s="97"/>
      <c r="C12" s="97"/>
      <c r="D12" s="97"/>
      <c r="E12" s="97"/>
      <c r="F12" s="97"/>
      <c r="G12" s="97"/>
      <c r="H12" s="97"/>
      <c r="I12" s="97"/>
      <c r="J12" s="97"/>
      <c r="K12" s="97"/>
      <c r="L12" s="97"/>
      <c r="M12" s="97"/>
      <c r="N12" s="97"/>
      <c r="O12" s="97"/>
      <c r="Q12" s="59" t="s">
        <v>232</v>
      </c>
      <c r="R12" s="78">
        <f>1-R11</f>
        <v>0.76694113435278477</v>
      </c>
      <c r="T12" s="91" t="s">
        <v>244</v>
      </c>
      <c r="U12" s="91"/>
      <c r="V12" s="91"/>
      <c r="W12" s="91"/>
      <c r="X12" s="91"/>
      <c r="Y12" s="91"/>
      <c r="Z12" s="91"/>
    </row>
    <row r="13" spans="1:26" ht="13.2" customHeight="1" x14ac:dyDescent="0.25">
      <c r="A13" s="97"/>
      <c r="B13" s="97"/>
      <c r="C13" s="97"/>
      <c r="D13" s="97"/>
      <c r="E13" s="97"/>
      <c r="F13" s="97"/>
      <c r="G13" s="97"/>
      <c r="H13" s="97"/>
      <c r="I13" s="97"/>
      <c r="J13" s="97"/>
      <c r="K13" s="97"/>
      <c r="L13" s="97"/>
      <c r="M13" s="97"/>
      <c r="N13" s="97"/>
      <c r="O13" s="97"/>
      <c r="Q13" s="59"/>
      <c r="R13" s="59"/>
      <c r="T13" s="91"/>
      <c r="U13" s="91"/>
      <c r="V13" s="91"/>
      <c r="W13" s="91"/>
      <c r="X13" s="91"/>
      <c r="Y13" s="91"/>
      <c r="Z13" s="91"/>
    </row>
    <row r="14" spans="1:26" x14ac:dyDescent="0.25">
      <c r="A14" s="97"/>
      <c r="B14" s="97"/>
      <c r="C14" s="97"/>
      <c r="D14" s="97"/>
      <c r="E14" s="97"/>
      <c r="F14" s="97"/>
      <c r="G14" s="97"/>
      <c r="H14" s="97"/>
      <c r="I14" s="97"/>
      <c r="J14" s="97"/>
      <c r="K14" s="97"/>
      <c r="L14" s="97"/>
      <c r="M14" s="97"/>
      <c r="N14" s="97"/>
      <c r="O14" s="97"/>
      <c r="Q14" s="59" t="s">
        <v>233</v>
      </c>
      <c r="R14" s="79">
        <f>SUMIF(Data!A:A,2014,Data!J:J) / SUMIF(Data!A:A,2014,Data!I:I)</f>
        <v>2.1102542399448256</v>
      </c>
      <c r="T14" s="91"/>
      <c r="U14" s="91"/>
      <c r="V14" s="91"/>
      <c r="W14" s="91"/>
      <c r="X14" s="91"/>
      <c r="Y14" s="91"/>
      <c r="Z14" s="91"/>
    </row>
    <row r="15" spans="1:26" x14ac:dyDescent="0.25">
      <c r="A15" s="97"/>
      <c r="B15" s="97"/>
      <c r="C15" s="97"/>
      <c r="D15" s="97"/>
      <c r="E15" s="97"/>
      <c r="F15" s="97"/>
      <c r="G15" s="97"/>
      <c r="H15" s="97"/>
      <c r="I15" s="97"/>
      <c r="J15" s="97"/>
      <c r="K15" s="97"/>
      <c r="L15" s="97"/>
      <c r="M15" s="97"/>
      <c r="N15" s="97"/>
      <c r="O15" s="97"/>
      <c r="Q15" s="59"/>
      <c r="R15" s="59"/>
    </row>
    <row r="16" spans="1:26" x14ac:dyDescent="0.25">
      <c r="A16" s="97"/>
      <c r="B16" s="97"/>
      <c r="C16" s="97"/>
      <c r="D16" s="97"/>
      <c r="E16" s="97"/>
      <c r="F16" s="97"/>
      <c r="G16" s="97"/>
      <c r="H16" s="97"/>
      <c r="I16" s="97"/>
      <c r="J16" s="97"/>
      <c r="K16" s="97"/>
      <c r="L16" s="97"/>
      <c r="M16" s="97"/>
      <c r="N16" s="97"/>
      <c r="O16" s="97"/>
      <c r="T16" s="1" t="s">
        <v>239</v>
      </c>
    </row>
    <row r="17" spans="1:26" ht="13.2" customHeight="1" x14ac:dyDescent="0.25">
      <c r="A17" s="97"/>
      <c r="B17" s="97"/>
      <c r="C17" s="97"/>
      <c r="D17" s="97"/>
      <c r="E17" s="97"/>
      <c r="F17" s="97"/>
      <c r="G17" s="97"/>
      <c r="H17" s="97"/>
      <c r="I17" s="97"/>
      <c r="J17" s="97"/>
      <c r="K17" s="97"/>
      <c r="L17" s="97"/>
      <c r="M17" s="97"/>
      <c r="N17" s="97"/>
      <c r="O17" s="97"/>
      <c r="T17" s="91" t="s">
        <v>245</v>
      </c>
      <c r="U17" s="91"/>
      <c r="V17" s="91"/>
      <c r="W17" s="91"/>
      <c r="X17" s="91"/>
      <c r="Y17" s="91"/>
      <c r="Z17" s="91"/>
    </row>
    <row r="18" spans="1:26" x14ac:dyDescent="0.25">
      <c r="A18" s="97"/>
      <c r="B18" s="97"/>
      <c r="C18" s="97"/>
      <c r="D18" s="97"/>
      <c r="E18" s="97"/>
      <c r="F18" s="97"/>
      <c r="G18" s="97"/>
      <c r="H18" s="97"/>
      <c r="I18" s="97"/>
      <c r="J18" s="97"/>
      <c r="K18" s="97"/>
      <c r="L18" s="97"/>
      <c r="M18" s="97"/>
      <c r="N18" s="97"/>
      <c r="O18" s="97"/>
      <c r="T18" s="91"/>
      <c r="U18" s="91"/>
      <c r="V18" s="91"/>
      <c r="W18" s="91"/>
      <c r="X18" s="91"/>
      <c r="Y18" s="91"/>
      <c r="Z18" s="91"/>
    </row>
    <row r="19" spans="1:26" x14ac:dyDescent="0.25">
      <c r="A19" s="97"/>
      <c r="B19" s="97"/>
      <c r="C19" s="97"/>
      <c r="D19" s="97"/>
      <c r="E19" s="97"/>
      <c r="F19" s="97"/>
      <c r="G19" s="97"/>
      <c r="H19" s="97"/>
      <c r="I19" s="97"/>
      <c r="J19" s="97"/>
      <c r="K19" s="97"/>
      <c r="L19" s="97"/>
      <c r="M19" s="97"/>
      <c r="N19" s="97"/>
      <c r="O19" s="97"/>
      <c r="T19" s="91"/>
      <c r="U19" s="91"/>
      <c r="V19" s="91"/>
      <c r="W19" s="91"/>
      <c r="X19" s="91"/>
      <c r="Y19" s="91"/>
      <c r="Z19" s="91"/>
    </row>
    <row r="20" spans="1:26" x14ac:dyDescent="0.25">
      <c r="A20" s="97"/>
      <c r="B20" s="97"/>
      <c r="C20" s="97"/>
      <c r="D20" s="97"/>
      <c r="E20" s="97"/>
      <c r="F20" s="97"/>
      <c r="G20" s="97"/>
      <c r="H20" s="97"/>
      <c r="I20" s="97"/>
      <c r="J20" s="97"/>
      <c r="K20" s="97"/>
      <c r="L20" s="97"/>
      <c r="M20" s="97"/>
      <c r="N20" s="97"/>
      <c r="O20" s="97"/>
      <c r="T20" s="58"/>
      <c r="U20" s="58"/>
      <c r="V20" s="58"/>
      <c r="W20" s="58"/>
      <c r="X20" s="58"/>
      <c r="Y20" s="58"/>
    </row>
    <row r="21" spans="1:26" x14ac:dyDescent="0.25">
      <c r="T21" s="1" t="s">
        <v>240</v>
      </c>
    </row>
    <row r="22" spans="1:26" ht="16.2" customHeight="1" x14ac:dyDescent="0.3">
      <c r="A22" s="59"/>
      <c r="B22" s="60" t="s">
        <v>206</v>
      </c>
      <c r="C22" s="61" t="s">
        <v>207</v>
      </c>
      <c r="D22" s="59"/>
      <c r="E22" s="95" t="s">
        <v>216</v>
      </c>
      <c r="F22" s="95"/>
      <c r="G22" s="95"/>
      <c r="H22" s="95"/>
      <c r="I22" s="59"/>
      <c r="J22" s="60" t="s">
        <v>209</v>
      </c>
      <c r="K22" s="62" t="s">
        <v>210</v>
      </c>
      <c r="L22" s="59"/>
      <c r="M22" s="95" t="s">
        <v>241</v>
      </c>
      <c r="N22" s="96"/>
      <c r="O22" s="96"/>
      <c r="P22" s="59"/>
      <c r="Q22" s="93" t="s">
        <v>215</v>
      </c>
      <c r="R22" s="94"/>
      <c r="T22" s="91" t="s">
        <v>246</v>
      </c>
      <c r="U22" s="91"/>
      <c r="V22" s="91"/>
      <c r="W22" s="91"/>
      <c r="X22" s="91"/>
      <c r="Y22" s="91"/>
      <c r="Z22" s="91"/>
    </row>
    <row r="23" spans="1:26" x14ac:dyDescent="0.25">
      <c r="A23" s="59"/>
      <c r="B23" s="60" t="s">
        <v>46</v>
      </c>
      <c r="C23" s="64">
        <f>SUMIF(Data!A:A,2014,Data!G:G)</f>
        <v>136871</v>
      </c>
      <c r="D23" s="59"/>
      <c r="E23" s="95"/>
      <c r="F23" s="95"/>
      <c r="G23" s="95"/>
      <c r="H23" s="95"/>
      <c r="I23" s="59"/>
      <c r="J23" s="65" t="s">
        <v>211</v>
      </c>
      <c r="K23" s="66">
        <f>AVERAGEIF(Data!A:A,2014,Data!L:L)</f>
        <v>0.51916666666666678</v>
      </c>
      <c r="L23" s="59"/>
      <c r="M23" s="96"/>
      <c r="N23" s="96"/>
      <c r="O23" s="96"/>
      <c r="P23" s="59"/>
      <c r="Q23" s="59"/>
      <c r="R23" s="59"/>
      <c r="T23" s="91"/>
      <c r="U23" s="91"/>
      <c r="V23" s="91"/>
      <c r="W23" s="91"/>
      <c r="X23" s="91"/>
      <c r="Y23" s="91"/>
      <c r="Z23" s="91"/>
    </row>
    <row r="24" spans="1:26" x14ac:dyDescent="0.25">
      <c r="A24" s="59"/>
      <c r="B24" s="65" t="s">
        <v>45</v>
      </c>
      <c r="C24" s="67">
        <f>SUMIF(Data!A:A,2014,Data!H:H)</f>
        <v>76860</v>
      </c>
      <c r="D24" s="59"/>
      <c r="E24" s="95"/>
      <c r="F24" s="95"/>
      <c r="G24" s="95"/>
      <c r="H24" s="95"/>
      <c r="I24" s="59"/>
      <c r="J24" s="65" t="s">
        <v>212</v>
      </c>
      <c r="K24" s="66">
        <f>AVERAGEIF(Data!A:A,2014,Data!M:M)</f>
        <v>0.17749999999999999</v>
      </c>
      <c r="L24" s="59"/>
      <c r="M24" s="96"/>
      <c r="N24" s="96"/>
      <c r="O24" s="96"/>
      <c r="P24" s="59"/>
      <c r="Q24" s="68" t="s">
        <v>93</v>
      </c>
      <c r="R24" s="69" t="s">
        <v>208</v>
      </c>
      <c r="T24" s="91"/>
      <c r="U24" s="91"/>
      <c r="V24" s="91"/>
      <c r="W24" s="91"/>
      <c r="X24" s="91"/>
      <c r="Y24" s="91"/>
      <c r="Z24" s="91"/>
    </row>
    <row r="25" spans="1:26" x14ac:dyDescent="0.25">
      <c r="A25" s="59"/>
      <c r="B25" s="70" t="s">
        <v>43</v>
      </c>
      <c r="C25" s="71">
        <f>SUMIF(Data!A:A,2014,Data!I:I)</f>
        <v>31899</v>
      </c>
      <c r="D25" s="59"/>
      <c r="E25" s="95"/>
      <c r="F25" s="95"/>
      <c r="G25" s="95"/>
      <c r="H25" s="95"/>
      <c r="I25" s="59"/>
      <c r="J25" s="65" t="s">
        <v>213</v>
      </c>
      <c r="K25" s="66">
        <f>AVERAGEIF(Data!A:A,2014,Data!N:N)</f>
        <v>0.14666666666666664</v>
      </c>
      <c r="L25" s="59"/>
      <c r="M25" s="96"/>
      <c r="N25" s="96"/>
      <c r="O25" s="96"/>
      <c r="P25" s="59"/>
      <c r="Q25" s="72" t="s">
        <v>194</v>
      </c>
      <c r="R25" s="73">
        <f>SUMIF(Data!A:A,2014,Data!P:P)</f>
        <v>385000</v>
      </c>
      <c r="T25" s="91"/>
      <c r="U25" s="91"/>
      <c r="V25" s="91"/>
      <c r="W25" s="91"/>
      <c r="X25" s="91"/>
      <c r="Y25" s="91"/>
      <c r="Z25" s="91"/>
    </row>
    <row r="26" spans="1:26" ht="13.2" customHeight="1" x14ac:dyDescent="0.25">
      <c r="A26" s="59"/>
      <c r="B26" s="59"/>
      <c r="C26" s="59"/>
      <c r="D26" s="59"/>
      <c r="E26" s="63"/>
      <c r="F26" s="63"/>
      <c r="G26" s="63"/>
      <c r="H26" s="59"/>
      <c r="I26" s="59"/>
      <c r="J26" s="74" t="s">
        <v>214</v>
      </c>
      <c r="K26" s="75">
        <f>AVERAGEIF(Data!A:A,2014,Data!O:O)</f>
        <v>0.1583333333333333</v>
      </c>
      <c r="L26" s="59"/>
      <c r="M26" s="96"/>
      <c r="N26" s="96"/>
      <c r="O26" s="96"/>
      <c r="P26" s="59"/>
      <c r="Q26" s="70" t="s">
        <v>196</v>
      </c>
      <c r="R26" s="76">
        <f>SUMIF(Data!A:A,2014,Data!Q:Q)</f>
        <v>18000</v>
      </c>
      <c r="T26" s="91"/>
      <c r="U26" s="91"/>
      <c r="V26" s="91"/>
      <c r="W26" s="91"/>
      <c r="X26" s="91"/>
      <c r="Y26" s="91"/>
      <c r="Z26" s="91"/>
    </row>
    <row r="27" spans="1:26" x14ac:dyDescent="0.25">
      <c r="A27" s="59"/>
      <c r="B27" s="59"/>
      <c r="C27" s="59"/>
      <c r="D27" s="59"/>
      <c r="E27" s="63"/>
      <c r="F27" s="63"/>
      <c r="G27" s="63"/>
      <c r="H27" s="59"/>
      <c r="I27" s="59"/>
      <c r="J27" s="59"/>
      <c r="K27" s="59"/>
      <c r="L27" s="59"/>
      <c r="M27" s="59"/>
      <c r="N27" s="59"/>
      <c r="O27" s="59"/>
      <c r="P27" s="59"/>
      <c r="Q27" s="59"/>
      <c r="R27" s="59"/>
      <c r="T27" s="91"/>
      <c r="U27" s="91"/>
      <c r="V27" s="91"/>
      <c r="W27" s="91"/>
      <c r="X27" s="91"/>
      <c r="Y27" s="91"/>
      <c r="Z27" s="91"/>
    </row>
    <row r="28" spans="1:26" x14ac:dyDescent="0.25">
      <c r="T28" s="91"/>
      <c r="U28" s="91"/>
      <c r="V28" s="91"/>
      <c r="W28" s="91"/>
      <c r="X28" s="91"/>
      <c r="Y28" s="91"/>
      <c r="Z28" s="91"/>
    </row>
    <row r="29" spans="1:26" ht="15.6" x14ac:dyDescent="0.3">
      <c r="B29" s="89" t="s">
        <v>217</v>
      </c>
      <c r="C29" s="89"/>
      <c r="J29" s="89" t="s">
        <v>221</v>
      </c>
      <c r="K29" s="89"/>
      <c r="L29" s="89"/>
      <c r="T29" s="91"/>
      <c r="U29" s="91"/>
      <c r="V29" s="91"/>
      <c r="W29" s="91"/>
      <c r="X29" s="91"/>
      <c r="Y29" s="91"/>
      <c r="Z29" s="91"/>
    </row>
    <row r="30" spans="1:26" ht="15.6" x14ac:dyDescent="0.3">
      <c r="C30" s="56"/>
      <c r="Q30" s="115" t="s">
        <v>248</v>
      </c>
      <c r="T30" s="58"/>
      <c r="U30" s="58"/>
      <c r="V30" s="58"/>
      <c r="W30" s="58"/>
      <c r="X30" s="58"/>
      <c r="Y30" s="58"/>
    </row>
    <row r="31" spans="1:26" ht="13.2" customHeight="1" x14ac:dyDescent="0.25">
      <c r="B31" s="90" t="s">
        <v>218</v>
      </c>
      <c r="C31" s="90"/>
      <c r="D31" s="90"/>
      <c r="E31" s="90"/>
      <c r="F31" s="90"/>
      <c r="G31" s="90"/>
      <c r="H31" s="57"/>
      <c r="I31" s="33"/>
      <c r="J31" s="90" t="s">
        <v>222</v>
      </c>
      <c r="K31" s="90"/>
      <c r="L31" s="90"/>
      <c r="M31" s="90"/>
      <c r="N31" s="90"/>
      <c r="O31" s="90"/>
      <c r="Q31" s="88"/>
    </row>
    <row r="32" spans="1:26" ht="13.2" customHeight="1" x14ac:dyDescent="0.25">
      <c r="B32" s="90"/>
      <c r="C32" s="90"/>
      <c r="D32" s="90"/>
      <c r="E32" s="90"/>
      <c r="F32" s="90"/>
      <c r="G32" s="90"/>
      <c r="H32" s="57"/>
      <c r="J32" s="90"/>
      <c r="K32" s="90"/>
      <c r="L32" s="90"/>
      <c r="M32" s="90"/>
      <c r="N32" s="90"/>
      <c r="O32" s="90"/>
      <c r="Q32" s="116" t="s">
        <v>249</v>
      </c>
      <c r="R32" s="87"/>
      <c r="S32" s="87"/>
      <c r="T32" s="87"/>
      <c r="U32" s="87"/>
      <c r="V32" s="87"/>
      <c r="W32" s="87"/>
      <c r="X32" s="87"/>
      <c r="Y32" s="87"/>
      <c r="Z32" s="87"/>
    </row>
    <row r="33" spans="2:26" ht="13.2" customHeight="1" x14ac:dyDescent="0.25">
      <c r="Q33" s="87"/>
      <c r="R33" s="87"/>
      <c r="S33" s="87"/>
      <c r="T33" s="87"/>
      <c r="U33" s="87"/>
      <c r="V33" s="87"/>
      <c r="W33" s="87"/>
      <c r="X33" s="87"/>
      <c r="Y33" s="87"/>
      <c r="Z33" s="87"/>
    </row>
    <row r="34" spans="2:26" ht="13.2" customHeight="1" x14ac:dyDescent="0.25">
      <c r="B34" s="90" t="s">
        <v>219</v>
      </c>
      <c r="C34" s="90"/>
      <c r="D34" s="90"/>
      <c r="E34" s="90"/>
      <c r="F34" s="90"/>
      <c r="G34" s="90"/>
      <c r="H34" s="57"/>
      <c r="I34" s="33"/>
      <c r="J34" s="90" t="s">
        <v>223</v>
      </c>
      <c r="K34" s="90"/>
      <c r="L34" s="90"/>
      <c r="M34" s="90"/>
      <c r="N34" s="90"/>
      <c r="O34" s="90"/>
      <c r="P34" s="33"/>
      <c r="Q34" s="87"/>
      <c r="R34" s="87"/>
      <c r="S34" s="87"/>
      <c r="T34" s="87"/>
      <c r="U34" s="87"/>
      <c r="V34" s="87"/>
      <c r="W34" s="87"/>
      <c r="X34" s="87"/>
      <c r="Y34" s="87"/>
      <c r="Z34" s="87"/>
    </row>
    <row r="35" spans="2:26" ht="13.2" customHeight="1" x14ac:dyDescent="0.25">
      <c r="B35" s="90"/>
      <c r="C35" s="90"/>
      <c r="D35" s="90"/>
      <c r="E35" s="90"/>
      <c r="F35" s="90"/>
      <c r="G35" s="90"/>
      <c r="H35" s="57"/>
      <c r="J35" s="90"/>
      <c r="K35" s="90"/>
      <c r="L35" s="90"/>
      <c r="M35" s="90"/>
      <c r="N35" s="90"/>
      <c r="O35" s="90"/>
      <c r="Q35" s="87"/>
      <c r="R35" s="87"/>
      <c r="S35" s="87"/>
      <c r="T35" s="87"/>
      <c r="U35" s="87"/>
      <c r="V35" s="87"/>
      <c r="W35" s="87"/>
      <c r="X35" s="87"/>
      <c r="Y35" s="87"/>
      <c r="Z35" s="87"/>
    </row>
    <row r="36" spans="2:26" ht="13.2" customHeight="1" x14ac:dyDescent="0.3">
      <c r="Q36" s="80"/>
      <c r="R36" s="80"/>
      <c r="S36" s="80"/>
      <c r="T36" s="80"/>
      <c r="U36" s="80"/>
      <c r="V36" s="80"/>
      <c r="W36" s="80"/>
      <c r="X36" s="80"/>
      <c r="Y36" s="80"/>
    </row>
    <row r="37" spans="2:26" ht="13.2" customHeight="1" x14ac:dyDescent="0.25">
      <c r="B37" s="90" t="s">
        <v>220</v>
      </c>
      <c r="C37" s="90"/>
      <c r="D37" s="90"/>
      <c r="E37" s="90"/>
      <c r="F37" s="90"/>
      <c r="G37" s="90"/>
      <c r="H37" s="57"/>
      <c r="I37" s="33"/>
      <c r="J37" s="90" t="s">
        <v>224</v>
      </c>
      <c r="K37" s="90"/>
      <c r="L37" s="90"/>
      <c r="M37" s="90"/>
      <c r="N37" s="90"/>
      <c r="O37" s="90"/>
      <c r="P37" s="33"/>
      <c r="Q37" s="33"/>
      <c r="R37" s="33"/>
      <c r="S37" s="33"/>
    </row>
    <row r="38" spans="2:26" x14ac:dyDescent="0.25">
      <c r="B38" s="90"/>
      <c r="C38" s="90"/>
      <c r="D38" s="90"/>
      <c r="E38" s="90"/>
      <c r="F38" s="90"/>
      <c r="G38" s="90"/>
      <c r="H38" s="57"/>
      <c r="J38" s="90"/>
      <c r="K38" s="90"/>
      <c r="L38" s="90"/>
      <c r="M38" s="90"/>
      <c r="N38" s="90"/>
      <c r="O38" s="90"/>
    </row>
  </sheetData>
  <mergeCells count="43">
    <mergeCell ref="B1:M1"/>
    <mergeCell ref="B2:M2"/>
    <mergeCell ref="B3:M3"/>
    <mergeCell ref="B4:M4"/>
    <mergeCell ref="A6:C6"/>
    <mergeCell ref="G8:I8"/>
    <mergeCell ref="J6:L6"/>
    <mergeCell ref="J7:L7"/>
    <mergeCell ref="J8:L8"/>
    <mergeCell ref="A7:C7"/>
    <mergeCell ref="A8:C8"/>
    <mergeCell ref="D6:F6"/>
    <mergeCell ref="D7:F7"/>
    <mergeCell ref="D8:F8"/>
    <mergeCell ref="B37:G38"/>
    <mergeCell ref="J31:O32"/>
    <mergeCell ref="T12:Z14"/>
    <mergeCell ref="T17:Z19"/>
    <mergeCell ref="T22:Z29"/>
    <mergeCell ref="J29:L29"/>
    <mergeCell ref="J37:O38"/>
    <mergeCell ref="J34:O35"/>
    <mergeCell ref="Q22:R22"/>
    <mergeCell ref="M22:O26"/>
    <mergeCell ref="A10:H20"/>
    <mergeCell ref="I10:O20"/>
    <mergeCell ref="E22:H25"/>
    <mergeCell ref="Q1:R1"/>
    <mergeCell ref="Q32:Z35"/>
    <mergeCell ref="Q30:Q31"/>
    <mergeCell ref="B29:C29"/>
    <mergeCell ref="B31:G32"/>
    <mergeCell ref="B34:G35"/>
    <mergeCell ref="T2:V2"/>
    <mergeCell ref="T6:V6"/>
    <mergeCell ref="T11:W11"/>
    <mergeCell ref="T3:Z4"/>
    <mergeCell ref="T7:Z9"/>
    <mergeCell ref="M6:O6"/>
    <mergeCell ref="M7:O7"/>
    <mergeCell ref="M8:O8"/>
    <mergeCell ref="G6:I6"/>
    <mergeCell ref="G7:I7"/>
  </mergeCells>
  <pageMargins left="0.7" right="0.7" top="0.75" bottom="0.75" header="0.3" footer="0.3"/>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41</vt:i4>
      </vt:variant>
    </vt:vector>
  </HeadingPairs>
  <TitlesOfParts>
    <vt:vector size="50" baseType="lpstr">
      <vt:lpstr>Conversion Summary</vt:lpstr>
      <vt:lpstr>Fallout Summary</vt:lpstr>
      <vt:lpstr>Conversion Data</vt:lpstr>
      <vt:lpstr>Traffic Data</vt:lpstr>
      <vt:lpstr>Organic Keywords</vt:lpstr>
      <vt:lpstr>Unique Visitors</vt:lpstr>
      <vt:lpstr>Config</vt:lpstr>
      <vt:lpstr>Data</vt:lpstr>
      <vt:lpstr>Dashboard</vt:lpstr>
      <vt:lpstr>ORB_V1_sh1_111110011553438</vt:lpstr>
      <vt:lpstr>ORB_V1_sh1_111110031041880</vt:lpstr>
      <vt:lpstr>ORB_V1_sh1_111110115509284</vt:lpstr>
      <vt:lpstr>ORB_V1_sh2_111110035412386</vt:lpstr>
      <vt:lpstr>ORB_V1_sh2_111111010206845</vt:lpstr>
      <vt:lpstr>ORB_V1_sh2_111111010251999</vt:lpstr>
      <vt:lpstr>ORB_V1_sh2_111111125530097</vt:lpstr>
      <vt:lpstr>ORB_V1_sh2_111111125854440</vt:lpstr>
      <vt:lpstr>ORB_V1_sh4_111111110644720</vt:lpstr>
      <vt:lpstr>ORB_V1_sh4_111111111526602</vt:lpstr>
      <vt:lpstr>ORB_V1_sh4_111111112504747</vt:lpstr>
      <vt:lpstr>ORB_V1_sh4_111202043031889</vt:lpstr>
      <vt:lpstr>ORB_V1_sh4_111202043940709</vt:lpstr>
      <vt:lpstr>ORB_V1_sh4_111202044006439</vt:lpstr>
      <vt:lpstr>ORB_V1_sh4_111202044258363</vt:lpstr>
      <vt:lpstr>ORB_V1_sh4_111202044343132</vt:lpstr>
      <vt:lpstr>ORB_V1_sh4_111202044555251</vt:lpstr>
      <vt:lpstr>ORB_V1_sh4_111202044604236</vt:lpstr>
      <vt:lpstr>ORB_V1_sh4_111202044808508</vt:lpstr>
      <vt:lpstr>ORB_V1_sh4_111202044821362</vt:lpstr>
      <vt:lpstr>ORB_V1_sh4_111202045030391</vt:lpstr>
      <vt:lpstr>ORB_V1_sh4_111202045046333</vt:lpstr>
      <vt:lpstr>ORB_V1_sh5_111208043217057</vt:lpstr>
      <vt:lpstr>ORB_V1_sh5_111208043342531</vt:lpstr>
      <vt:lpstr>ORB_V1_sh5_111208043420125</vt:lpstr>
      <vt:lpstr>ORB_V1_sh5_111208050834201</vt:lpstr>
      <vt:lpstr>ORB_V1_sh6_111209121735557</vt:lpstr>
      <vt:lpstr>ORB_V1_sh6_111213023335064</vt:lpstr>
      <vt:lpstr>ORB_V1_sh6_111213023515872</vt:lpstr>
      <vt:lpstr>ORB_V1_sh6_111213024055110</vt:lpstr>
      <vt:lpstr>ORB_V1_sh6_111213024109572</vt:lpstr>
      <vt:lpstr>ORB_V1_sh6_111213025056932</vt:lpstr>
      <vt:lpstr>ORB_V1_sh6_111213025217975</vt:lpstr>
      <vt:lpstr>ORB_V1_sh6_111213045203402</vt:lpstr>
      <vt:lpstr>ORB_V1_sh7_111208043622337</vt:lpstr>
      <vt:lpstr>ORB_V1_sh7_111208043824188</vt:lpstr>
      <vt:lpstr>ORB_V1_sh7_111208045058606</vt:lpstr>
      <vt:lpstr>ORB_V1_shORB_SHEETCODENAME_111110115218432_111110115218432</vt:lpstr>
      <vt:lpstr>ORB_V1_shORB_SHEETCODENAME_111110120324455_111111110601421</vt:lpstr>
      <vt:lpstr>ORB_V1_shORB_SHEETCODENAME_111110120324470_111110035230576</vt:lpstr>
      <vt:lpstr>ORB_V1_shORB_SHEETCODENAME_111213034151402_111213034255533</vt:lpstr>
    </vt:vector>
  </TitlesOfParts>
  <Company>Canada Post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C:\Users\Online\Desktop\Reports\Shop\eStore-Dashboard (August 2012).xls</dc:title>
  <dc:creator>Online</dc:creator>
  <cp:lastModifiedBy>Olga Durham</cp:lastModifiedBy>
  <cp:lastPrinted>2012-10-01T20:02:28Z</cp:lastPrinted>
  <dcterms:created xsi:type="dcterms:W3CDTF">2011-11-10T16:36:34Z</dcterms:created>
  <dcterms:modified xsi:type="dcterms:W3CDTF">2025-12-25T01:43:11Z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B_ReportType">
    <vt:lpwstr>rfloating</vt:lpwstr>
  </property>
</Properties>
</file>